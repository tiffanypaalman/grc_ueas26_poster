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raw/"/>
    </mc:Choice>
  </mc:AlternateContent>
  <xr:revisionPtr revIDLastSave="11438" documentId="11_F25DC773A252ABDACC1048A0395D68865BDE58EC" xr6:coauthVersionLast="47" xr6:coauthVersionMax="47" xr10:uidLastSave="{76583778-6BE3-3D48-B7CB-804FD5B74F81}"/>
  <bookViews>
    <workbookView xWindow="-38400" yWindow="-1960" windowWidth="38400" windowHeight="21600" firstSheet="7" activeTab="16" xr2:uid="{00000000-000D-0000-FFFF-FFFF00000000}"/>
  </bookViews>
  <sheets>
    <sheet name="treatments" sheetId="15" r:id="rId1"/>
    <sheet name="env_parameters" sheetId="4" r:id="rId2"/>
    <sheet name="hobos" sheetId="12" r:id="rId3"/>
    <sheet name="clam_counts" sheetId="1" r:id="rId4"/>
    <sheet name="post_setup_disturbance_reef_dat" sheetId="2" r:id="rId5"/>
    <sheet name="summer2025_reef_data" sheetId="9" r:id="rId6"/>
    <sheet name="summer2025_invertebrate_data" sheetId="11" r:id="rId7"/>
    <sheet name="pit_data" sheetId="3" r:id="rId8"/>
    <sheet name="removal_pit_data" sheetId="6" r:id="rId9"/>
    <sheet name="procedural_control_data" sheetId="7" r:id="rId10"/>
    <sheet name="burial_data" sheetId="8" r:id="rId11"/>
    <sheet name="tile_data" sheetId="10" r:id="rId12"/>
    <sheet name="fall2025_reef_data" sheetId="13" r:id="rId13"/>
    <sheet name="fall2025_mussel_count" sheetId="14" r:id="rId14"/>
    <sheet name="spr26_field_reef_data" sheetId="16" r:id="rId15"/>
    <sheet name="spr26_field_oyster" sheetId="17" r:id="rId16"/>
    <sheet name="spr26_inverts" sheetId="18" r:id="rId17"/>
  </sheets>
  <definedNames>
    <definedName name="_xlnm._FilterDatabase" localSheetId="7" hidden="1">pit_data!$B$2:$B$102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11" i="9" a="1"/>
  <c r="B11" i="9"/>
  <c r="I4" i="6"/>
  <c r="V27" i="6"/>
  <c r="V31" i="6"/>
  <c r="X31" i="6"/>
  <c r="W31" i="6"/>
  <c r="X27" i="6"/>
  <c r="W27" i="6"/>
  <c r="U27" i="6"/>
  <c r="U31" i="6"/>
  <c r="AF10" i="6"/>
  <c r="AF7" i="6"/>
  <c r="AD5" i="6"/>
  <c r="AF4" i="6"/>
  <c r="AD6" i="6"/>
  <c r="AF5" i="6"/>
  <c r="AD7" i="6"/>
  <c r="AD8" i="6"/>
  <c r="AD9" i="6"/>
  <c r="AF8" i="6"/>
  <c r="AD10" i="6"/>
  <c r="AD11" i="6"/>
  <c r="AD12" i="6"/>
  <c r="AD13" i="6"/>
  <c r="AD16" i="6"/>
  <c r="AD17" i="6"/>
  <c r="AD18" i="6"/>
  <c r="AD19" i="6"/>
  <c r="AD4" i="6"/>
  <c r="O5" i="6"/>
  <c r="O6" i="6"/>
  <c r="O7" i="6"/>
  <c r="O8" i="6"/>
  <c r="O9" i="6"/>
  <c r="P8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4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I28" i="6"/>
  <c r="F28" i="6"/>
  <c r="I30" i="6"/>
  <c r="I29" i="6"/>
  <c r="I27" i="6"/>
  <c r="I26" i="6"/>
  <c r="I25" i="6"/>
  <c r="I24" i="6"/>
  <c r="I23" i="6"/>
  <c r="F30" i="6"/>
  <c r="F29" i="6"/>
  <c r="F27" i="6"/>
  <c r="F26" i="6"/>
  <c r="F25" i="6"/>
  <c r="F24" i="6"/>
  <c r="F23" i="6"/>
  <c r="I22" i="6"/>
  <c r="F22" i="6"/>
  <c r="I21" i="6"/>
  <c r="F21" i="6"/>
  <c r="I17" i="6"/>
  <c r="F17" i="6"/>
  <c r="I18" i="6"/>
  <c r="F18" i="6"/>
  <c r="I19" i="6"/>
  <c r="F19" i="6"/>
  <c r="I20" i="6"/>
  <c r="F20" i="6"/>
  <c r="I12" i="6"/>
  <c r="F12" i="6"/>
  <c r="I5" i="6"/>
  <c r="I6" i="6"/>
  <c r="I7" i="6"/>
  <c r="I8" i="6"/>
  <c r="I9" i="6"/>
  <c r="I10" i="6"/>
  <c r="I11" i="6"/>
  <c r="I13" i="6"/>
  <c r="I14" i="6"/>
  <c r="I15" i="6"/>
  <c r="I16" i="6"/>
  <c r="F4" i="6"/>
  <c r="F5" i="6"/>
  <c r="F6" i="6"/>
  <c r="F7" i="6"/>
  <c r="F8" i="6"/>
  <c r="F9" i="6"/>
  <c r="F10" i="6"/>
  <c r="F11" i="6"/>
  <c r="F13" i="6"/>
  <c r="F14" i="6"/>
  <c r="F15" i="6"/>
  <c r="F16" i="6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B5" i="2" a="1"/>
  <c r="B5" i="2"/>
  <c r="P4" i="6"/>
  <c r="AF9" i="6"/>
  <c r="AF6" i="6"/>
  <c r="P21" i="6"/>
  <c r="AF11" i="6"/>
  <c r="P12" i="6"/>
  <c r="P10" i="6"/>
  <c r="P6" i="6"/>
  <c r="P17" i="6"/>
  <c r="P1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<sst xmlns="http://schemas.openxmlformats.org/spreadsheetml/2006/main" count="643" uniqueCount="181">
  <si>
    <t>hard clam (mercenaria mercenaria) density at surface</t>
  </si>
  <si>
    <t xml:space="preserve">recorder(s): </t>
  </si>
  <si>
    <t>tiff</t>
  </si>
  <si>
    <t>plot</t>
  </si>
  <si>
    <t>date</t>
  </si>
  <si>
    <t>recorders: tiff, mason</t>
  </si>
  <si>
    <t>description: 3 random 20x20cm quads over 100% oyster in plots</t>
  </si>
  <si>
    <t>quad</t>
  </si>
  <si>
    <t>clam_count</t>
  </si>
  <si>
    <t>umbo_heights</t>
  </si>
  <si>
    <t>plot_id</t>
  </si>
  <si>
    <t>live_perc</t>
  </si>
  <si>
    <t>shell_perc</t>
  </si>
  <si>
    <t>clump_count</t>
  </si>
  <si>
    <t>pit_id</t>
  </si>
  <si>
    <t>x_cm</t>
  </si>
  <si>
    <t>y_cm</t>
  </si>
  <si>
    <t>depth_cm</t>
  </si>
  <si>
    <t>position_x_cm</t>
  </si>
  <si>
    <t>position_y_cm</t>
  </si>
  <si>
    <t>pit_vol</t>
  </si>
  <si>
    <t>notes</t>
  </si>
  <si>
    <t>stopped at 45 due to rain</t>
  </si>
  <si>
    <t>ray pits - removal plots</t>
  </si>
  <si>
    <t>adjacent 2x2m spaces to a 100% cover open treatment</t>
  </si>
  <si>
    <t>left_or_right</t>
  </si>
  <si>
    <t>pit_count</t>
  </si>
  <si>
    <t>left</t>
  </si>
  <si>
    <t>right</t>
  </si>
  <si>
    <t>reef_live_perc</t>
  </si>
  <si>
    <t>reef_shell_perc</t>
  </si>
  <si>
    <t>mud_live_perc</t>
  </si>
  <si>
    <t>mud_shell_perc</t>
  </si>
  <si>
    <t>reef_bare_perc</t>
  </si>
  <si>
    <t>mud_bare_perc</t>
  </si>
  <si>
    <t>algae/seaweed</t>
  </si>
  <si>
    <t>marsh roots/detritus</t>
  </si>
  <si>
    <t>p</t>
  </si>
  <si>
    <t>4 dead clams</t>
  </si>
  <si>
    <t>lots of loose shell at plot edge</t>
  </si>
  <si>
    <t>middle</t>
  </si>
  <si>
    <t>bottom right, mud</t>
  </si>
  <si>
    <t>middle right, mud</t>
  </si>
  <si>
    <t>bottom middle, mud</t>
  </si>
  <si>
    <t>bottom right, p</t>
  </si>
  <si>
    <t>bottom left, p</t>
  </si>
  <si>
    <t>top right, p</t>
  </si>
  <si>
    <t>middle right, p</t>
  </si>
  <si>
    <t>bottom left, mud</t>
  </si>
  <si>
    <t>top left, p</t>
  </si>
  <si>
    <t>middle left, p</t>
  </si>
  <si>
    <t>bottom middle, p</t>
  </si>
  <si>
    <t>middle, mud</t>
  </si>
  <si>
    <t>middle left, mud</t>
  </si>
  <si>
    <t>top middle, p</t>
  </si>
  <si>
    <t>half cages 2 &amp; 3 installed on 7/2</t>
  </si>
  <si>
    <t>half cages 1 &amp; 4 installed on 7/5</t>
  </si>
  <si>
    <t>pc1</t>
  </si>
  <si>
    <t>pc2</t>
  </si>
  <si>
    <t>pc3</t>
  </si>
  <si>
    <t>pc4</t>
  </si>
  <si>
    <t>plot_shell_perc</t>
  </si>
  <si>
    <t>plot_live_perc</t>
  </si>
  <si>
    <t>plot_mud_perc</t>
  </si>
  <si>
    <t>plot 1 -17 pebbles installed on 7/18/25</t>
  </si>
  <si>
    <t>plot 18 - 64 pebbles installed on 7/19/25</t>
  </si>
  <si>
    <t>polychaete eggs</t>
  </si>
  <si>
    <t>marsh detritus</t>
  </si>
  <si>
    <t>mud snails</t>
  </si>
  <si>
    <t>detritus</t>
  </si>
  <si>
    <t>detritus, polychaete eggs</t>
  </si>
  <si>
    <t>100 perc cover, uncaged data</t>
  </si>
  <si>
    <t>28 and 52 have had 0 ray pits</t>
  </si>
  <si>
    <t>removal</t>
  </si>
  <si>
    <t>100 perc uncaged</t>
  </si>
  <si>
    <t>pit count</t>
  </si>
  <si>
    <t>volume bioturbated</t>
  </si>
  <si>
    <t>semi ellipsoid volume</t>
  </si>
  <si>
    <t>pit_vol_cm3</t>
  </si>
  <si>
    <t>plot_pit_vol_cm3</t>
  </si>
  <si>
    <t>st dev</t>
  </si>
  <si>
    <t>se</t>
  </si>
  <si>
    <t>time</t>
  </si>
  <si>
    <t>location</t>
  </si>
  <si>
    <t>trailhead</t>
  </si>
  <si>
    <t>temp_c</t>
  </si>
  <si>
    <t>mmHg</t>
  </si>
  <si>
    <t>do_perc</t>
  </si>
  <si>
    <t>do_mg_L</t>
  </si>
  <si>
    <t>salinity_ppt</t>
  </si>
  <si>
    <t>pH</t>
  </si>
  <si>
    <t>pH-mV</t>
  </si>
  <si>
    <t>1 live clam</t>
  </si>
  <si>
    <t>4 juv fish</t>
  </si>
  <si>
    <t>3 juv fish</t>
  </si>
  <si>
    <t>1 clam shell</t>
  </si>
  <si>
    <t>minnow, shrimp</t>
  </si>
  <si>
    <t>1 dead fish</t>
  </si>
  <si>
    <t>1 mud snail</t>
  </si>
  <si>
    <t>bird trail</t>
  </si>
  <si>
    <t>1 dead clam</t>
  </si>
  <si>
    <t>procedure:</t>
  </si>
  <si>
    <t>grids were placed over the reef with a picture taken</t>
  </si>
  <si>
    <t>three random cells were chosen for measurements</t>
  </si>
  <si>
    <t>clump count includes clumps with 5+ oysters (living or dead)</t>
  </si>
  <si>
    <t>% cover represents the % of the total cell that includes shell (both living and dead)</t>
  </si>
  <si>
    <t>% live represents the % of the total cell that appears to be live oyster (small gaping)</t>
  </si>
  <si>
    <t>highest height in the tallest oyster height in the cell</t>
  </si>
  <si>
    <t>3 heights at random points throughout the cell were measured, mud/no shell is shown as 0cm</t>
  </si>
  <si>
    <t>highest_height_cm</t>
  </si>
  <si>
    <t>random_height_1_cm</t>
  </si>
  <si>
    <t>random_height_2_cm</t>
  </si>
  <si>
    <t>random_height_3_cm</t>
  </si>
  <si>
    <t>live_oyster_count</t>
  </si>
  <si>
    <t>dead_oyster_count</t>
  </si>
  <si>
    <t>oyster_length_1_cm</t>
  </si>
  <si>
    <t>oyster_length_2_cm</t>
  </si>
  <si>
    <t>oyster_length_3_cm</t>
  </si>
  <si>
    <t>oyster_length_4_cm</t>
  </si>
  <si>
    <t>oyster_length_5_cm</t>
  </si>
  <si>
    <t>oyster_length_6_cm</t>
  </si>
  <si>
    <t>oyster_length_7_cm</t>
  </si>
  <si>
    <t>oyster_length_8_cm</t>
  </si>
  <si>
    <t>oyster_length_9_cm</t>
  </si>
  <si>
    <t>oyster_length_10_cm</t>
  </si>
  <si>
    <t>spat_count</t>
  </si>
  <si>
    <t>mussel_count</t>
  </si>
  <si>
    <t>spat_length_1_mm</t>
  </si>
  <si>
    <t>spat_length_2_mm</t>
  </si>
  <si>
    <t>spat_length_3_mm</t>
  </si>
  <si>
    <t>spat_length_4_mm</t>
  </si>
  <si>
    <t>spat_length_5_mm</t>
  </si>
  <si>
    <t>boring_sponge_count</t>
  </si>
  <si>
    <t>invertebrate sampling</t>
  </si>
  <si>
    <t>20x20cm quadrat</t>
  </si>
  <si>
    <t>plot 1</t>
  </si>
  <si>
    <t>plot 12</t>
  </si>
  <si>
    <t>plot 28</t>
  </si>
  <si>
    <t>plot 46</t>
  </si>
  <si>
    <t>plot 64</t>
  </si>
  <si>
    <t>live and dead oyster done separately, data taken on 7/28/25</t>
  </si>
  <si>
    <t>a 20x20cm quadrat was thrown randomly into the plot</t>
  </si>
  <si>
    <t>all live and dead oysters were counted in that plot</t>
  </si>
  <si>
    <t xml:space="preserve"> </t>
  </si>
  <si>
    <t>live oyster lengths were measured first</t>
  </si>
  <si>
    <t>spat and juvenile oysters were identified as settled-oysters under 20cm in length (live only)</t>
  </si>
  <si>
    <t>5.25.0</t>
  </si>
  <si>
    <t>counted active presence per clump</t>
  </si>
  <si>
    <t>live only</t>
  </si>
  <si>
    <t>date installed: 7/31/25</t>
  </si>
  <si>
    <t>time_installed</t>
  </si>
  <si>
    <t>stopped at 32</t>
  </si>
  <si>
    <t>0,0 is the bottom left corner of the plot (in mud)</t>
  </si>
  <si>
    <t>stopped at 32, emlid positioning in fieldmaps</t>
  </si>
  <si>
    <t>three randomly thrown 20x20cm quadrats</t>
  </si>
  <si>
    <t>live oyster lengths were only measured</t>
  </si>
  <si>
    <t>spat and juvenile oysters were identified as settled-oysters under 20cm in length (live only), translucent in color</t>
  </si>
  <si>
    <t>perc_cover</t>
  </si>
  <si>
    <t>did not specify species</t>
  </si>
  <si>
    <t>Stone Crab Hole</t>
  </si>
  <si>
    <t>major fail</t>
  </si>
  <si>
    <t>date replaced:</t>
  </si>
  <si>
    <t>date removed: 2/13/2026</t>
  </si>
  <si>
    <t>time_removed</t>
  </si>
  <si>
    <t>missing</t>
  </si>
  <si>
    <t>submerged, pole down, covered in algae</t>
  </si>
  <si>
    <t>hobo_code</t>
  </si>
  <si>
    <t>logging every 10 minutes</t>
  </si>
  <si>
    <t>submerged, pole down, battery malfunction</t>
  </si>
  <si>
    <t xml:space="preserve">experiment start: </t>
  </si>
  <si>
    <t>75%, caged</t>
  </si>
  <si>
    <t>50%, caged</t>
  </si>
  <si>
    <t>25%, uncaged</t>
  </si>
  <si>
    <t>25%, caged</t>
  </si>
  <si>
    <t>100%, caged</t>
  </si>
  <si>
    <t>100%, uncaged</t>
  </si>
  <si>
    <t>50%, uncaged</t>
  </si>
  <si>
    <t>75%, uncaged</t>
  </si>
  <si>
    <t>Treatment</t>
  </si>
  <si>
    <t>NA?</t>
  </si>
  <si>
    <t>stone_crab_burrow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</si>
</sst>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20" fontId="0" fillId="0" borderId="0" xfId="0" applyNumberFormat="1"/>
    <xf numFmtId="0" fontId="0" fillId="2" borderId="0" xfId="0" applyFill="1"/>
    <xf numFmtId="16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(removal_pit_data!$X$27,removal_pit_data!$X$31)</c:f>
                <c:numCache>
                  <c:formatCode>General</c:formatCode>
                  <c:ptCount val="2"/>
                  <c:pt idx="0">
                    <c:v>13529.380729104896</c:v>
                  </c:pt>
                  <c:pt idx="1">
                    <c:v>13529.380729104896</c:v>
                  </c:pt>
                </c:numCache>
              </c:numRef>
            </c:plus>
            <c:minus>
              <c:numRef>
                <c:f>(removal_pit_data!$X$27,removal_pit_data!$X$31)</c:f>
                <c:numCache>
                  <c:formatCode>General</c:formatCode>
                  <c:ptCount val="2"/>
                  <c:pt idx="0">
                    <c:v>13529.380729104896</c:v>
                  </c:pt>
                  <c:pt idx="1">
                    <c:v>13529.380729104896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(removal_pit_data!$V$27,removal_pit_data!$V$31)</c:f>
              <c:numCache>
                <c:formatCode>General</c:formatCode>
                <c:ptCount val="2"/>
                <c:pt idx="0">
                  <c:v>49312.009087072191</c:v>
                </c:pt>
                <c:pt idx="1">
                  <c:v>43784.638612468741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8-4DE1-B7AB-3638671B1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008576"/>
        <c:axId val="1136006176"/>
      </c:barChart>
      <c:catAx>
        <c:axId val="113600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006176"/>
        <c:crosses val="autoZero"/>
        <c:auto val="1"/>
        <c:lblAlgn val="ctr"/>
        <c:lblOffset val="100"/>
        <c:noMultiLvlLbl val="0"/>
      </c:catAx>
      <c:valAx>
        <c:axId val="11360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00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542925</xdr:colOff>
      <xdr:row>23</xdr:row>
      <xdr:rowOff>28574</xdr:rowOff>
    </xdr:from>
    <xdr:to>
      <xdr:col>31</xdr:col>
      <xdr:colOff>514350</xdr:colOff>
      <xdr:row>38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AB423D-29B9-F213-0ACB-39803EC61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B805-0F39-4AC0-8621-3F351F85AEB7}">
  <dimension ref="A1:B66"/>
  <sheetViews>
    <sheetView workbookViewId="0">
      <selection activeCell="F74" sqref="F74"/>
    </sheetView>
  </sheetViews>
  <sheetFormatPr baseColWidth="10" defaultColWidth="8.83203125" defaultRowHeight="15" x14ac:dyDescent="0.2"/>
  <cols>
    <col min="1" max="1" width="15" bestFit="1" customWidth="1"/>
    <col min="2" max="2" width="13" bestFit="1" customWidth="1"/>
  </cols>
  <sheetData>
    <row r="1" spans="1:2" x14ac:dyDescent="0.2">
      <c r="A1" t="s">
        <v>169</v>
      </c>
      <c r="B1" s="5">
        <v>45831</v>
      </c>
    </row>
    <row r="2" spans="1:2" x14ac:dyDescent="0.2">
      <c r="A2" t="s">
        <v>3</v>
      </c>
      <c r="B2" t="s">
        <v>178</v>
      </c>
    </row>
    <row r="3" spans="1:2" ht="16" x14ac:dyDescent="0.2">
      <c r="A3">
        <v>1</v>
      </c>
      <c r="B3" s="6" t="s">
        <v>170</v>
      </c>
    </row>
    <row r="4" spans="1:2" ht="16" x14ac:dyDescent="0.2">
      <c r="A4">
        <v>2</v>
      </c>
      <c r="B4" s="6" t="s">
        <v>171</v>
      </c>
    </row>
    <row r="5" spans="1:2" ht="16" x14ac:dyDescent="0.2">
      <c r="A5">
        <v>3</v>
      </c>
      <c r="B5" s="6" t="s">
        <v>172</v>
      </c>
    </row>
    <row r="6" spans="1:2" ht="16" x14ac:dyDescent="0.2">
      <c r="A6">
        <v>4</v>
      </c>
      <c r="B6" s="6" t="s">
        <v>173</v>
      </c>
    </row>
    <row r="7" spans="1:2" ht="16" x14ac:dyDescent="0.2">
      <c r="A7">
        <v>5</v>
      </c>
      <c r="B7" s="6" t="s">
        <v>174</v>
      </c>
    </row>
    <row r="8" spans="1:2" ht="16" x14ac:dyDescent="0.2">
      <c r="A8">
        <v>6</v>
      </c>
      <c r="B8" s="6" t="s">
        <v>175</v>
      </c>
    </row>
    <row r="9" spans="1:2" ht="16" x14ac:dyDescent="0.2">
      <c r="A9">
        <v>7</v>
      </c>
      <c r="B9" s="6" t="s">
        <v>176</v>
      </c>
    </row>
    <row r="10" spans="1:2" ht="16" x14ac:dyDescent="0.2">
      <c r="A10">
        <v>8</v>
      </c>
      <c r="B10" s="6" t="s">
        <v>177</v>
      </c>
    </row>
    <row r="11" spans="1:2" ht="16" x14ac:dyDescent="0.2">
      <c r="A11">
        <v>9</v>
      </c>
      <c r="B11" s="6" t="s">
        <v>171</v>
      </c>
    </row>
    <row r="12" spans="1:2" ht="16" x14ac:dyDescent="0.2">
      <c r="A12">
        <v>10</v>
      </c>
      <c r="B12" s="6" t="s">
        <v>175</v>
      </c>
    </row>
    <row r="13" spans="1:2" ht="16" x14ac:dyDescent="0.2">
      <c r="A13">
        <v>11</v>
      </c>
      <c r="B13" s="6" t="s">
        <v>174</v>
      </c>
    </row>
    <row r="14" spans="1:2" ht="16" x14ac:dyDescent="0.2">
      <c r="A14">
        <v>12</v>
      </c>
      <c r="B14" s="6" t="s">
        <v>173</v>
      </c>
    </row>
    <row r="15" spans="1:2" ht="16" x14ac:dyDescent="0.2">
      <c r="A15">
        <v>13</v>
      </c>
      <c r="B15" s="6" t="s">
        <v>176</v>
      </c>
    </row>
    <row r="16" spans="1:2" ht="16" x14ac:dyDescent="0.2">
      <c r="A16">
        <v>14</v>
      </c>
      <c r="B16" s="6" t="s">
        <v>170</v>
      </c>
    </row>
    <row r="17" spans="1:2" ht="16" x14ac:dyDescent="0.2">
      <c r="A17">
        <v>15</v>
      </c>
      <c r="B17" s="6" t="s">
        <v>177</v>
      </c>
    </row>
    <row r="18" spans="1:2" ht="16" x14ac:dyDescent="0.2">
      <c r="A18">
        <v>16</v>
      </c>
      <c r="B18" s="6" t="s">
        <v>172</v>
      </c>
    </row>
    <row r="19" spans="1:2" ht="16" x14ac:dyDescent="0.2">
      <c r="A19">
        <v>17</v>
      </c>
      <c r="B19" s="6" t="s">
        <v>176</v>
      </c>
    </row>
    <row r="20" spans="1:2" ht="16" x14ac:dyDescent="0.2">
      <c r="A20">
        <v>18</v>
      </c>
      <c r="B20" s="6" t="s">
        <v>170</v>
      </c>
    </row>
    <row r="21" spans="1:2" ht="16" x14ac:dyDescent="0.2">
      <c r="A21">
        <v>19</v>
      </c>
      <c r="B21" s="6" t="s">
        <v>173</v>
      </c>
    </row>
    <row r="22" spans="1:2" ht="16" x14ac:dyDescent="0.2">
      <c r="A22">
        <v>20</v>
      </c>
      <c r="B22" s="6" t="s">
        <v>174</v>
      </c>
    </row>
    <row r="23" spans="1:2" ht="16" x14ac:dyDescent="0.2">
      <c r="A23">
        <v>21</v>
      </c>
      <c r="B23" s="6" t="s">
        <v>171</v>
      </c>
    </row>
    <row r="24" spans="1:2" ht="16" x14ac:dyDescent="0.2">
      <c r="A24">
        <v>22</v>
      </c>
      <c r="B24" s="6" t="s">
        <v>172</v>
      </c>
    </row>
    <row r="25" spans="1:2" ht="16" x14ac:dyDescent="0.2">
      <c r="A25">
        <v>23</v>
      </c>
      <c r="B25" s="6" t="s">
        <v>175</v>
      </c>
    </row>
    <row r="26" spans="1:2" ht="16" x14ac:dyDescent="0.2">
      <c r="A26">
        <v>24</v>
      </c>
      <c r="B26" s="6" t="s">
        <v>177</v>
      </c>
    </row>
    <row r="27" spans="1:2" ht="16" x14ac:dyDescent="0.2">
      <c r="A27">
        <v>25</v>
      </c>
      <c r="B27" s="6" t="s">
        <v>170</v>
      </c>
    </row>
    <row r="28" spans="1:2" ht="16" x14ac:dyDescent="0.2">
      <c r="A28">
        <v>26</v>
      </c>
      <c r="B28" s="6" t="s">
        <v>177</v>
      </c>
    </row>
    <row r="29" spans="1:2" ht="16" x14ac:dyDescent="0.2">
      <c r="A29">
        <v>27</v>
      </c>
      <c r="B29" s="6" t="s">
        <v>173</v>
      </c>
    </row>
    <row r="30" spans="1:2" ht="16" x14ac:dyDescent="0.2">
      <c r="A30">
        <v>28</v>
      </c>
      <c r="B30" s="6" t="s">
        <v>175</v>
      </c>
    </row>
    <row r="31" spans="1:2" ht="16" x14ac:dyDescent="0.2">
      <c r="A31">
        <v>29</v>
      </c>
      <c r="B31" s="6" t="s">
        <v>176</v>
      </c>
    </row>
    <row r="32" spans="1:2" ht="16" x14ac:dyDescent="0.2">
      <c r="A32">
        <v>30</v>
      </c>
      <c r="B32" s="6" t="s">
        <v>171</v>
      </c>
    </row>
    <row r="33" spans="1:2" ht="16" x14ac:dyDescent="0.2">
      <c r="A33">
        <v>31</v>
      </c>
      <c r="B33" s="6" t="s">
        <v>174</v>
      </c>
    </row>
    <row r="34" spans="1:2" ht="16" x14ac:dyDescent="0.2">
      <c r="A34">
        <v>32</v>
      </c>
      <c r="B34" s="6" t="s">
        <v>172</v>
      </c>
    </row>
    <row r="35" spans="1:2" ht="16" x14ac:dyDescent="0.2">
      <c r="A35">
        <v>33</v>
      </c>
      <c r="B35" s="6" t="s">
        <v>172</v>
      </c>
    </row>
    <row r="36" spans="1:2" ht="16" x14ac:dyDescent="0.2">
      <c r="A36">
        <v>34</v>
      </c>
      <c r="B36" s="6" t="s">
        <v>170</v>
      </c>
    </row>
    <row r="37" spans="1:2" ht="16" x14ac:dyDescent="0.2">
      <c r="A37">
        <v>35</v>
      </c>
      <c r="B37" s="6" t="s">
        <v>171</v>
      </c>
    </row>
    <row r="38" spans="1:2" ht="16" x14ac:dyDescent="0.2">
      <c r="A38">
        <v>36</v>
      </c>
      <c r="B38" s="6" t="s">
        <v>175</v>
      </c>
    </row>
    <row r="39" spans="1:2" ht="16" x14ac:dyDescent="0.2">
      <c r="A39">
        <v>37</v>
      </c>
      <c r="B39" s="6" t="s">
        <v>173</v>
      </c>
    </row>
    <row r="40" spans="1:2" ht="16" x14ac:dyDescent="0.2">
      <c r="A40">
        <v>38</v>
      </c>
      <c r="B40" s="6" t="s">
        <v>174</v>
      </c>
    </row>
    <row r="41" spans="1:2" ht="16" x14ac:dyDescent="0.2">
      <c r="A41">
        <v>39</v>
      </c>
      <c r="B41" s="6" t="s">
        <v>176</v>
      </c>
    </row>
    <row r="42" spans="1:2" ht="16" x14ac:dyDescent="0.2">
      <c r="A42">
        <v>40</v>
      </c>
      <c r="B42" s="6" t="s">
        <v>177</v>
      </c>
    </row>
    <row r="43" spans="1:2" ht="16" x14ac:dyDescent="0.2">
      <c r="A43">
        <v>41</v>
      </c>
      <c r="B43" s="6" t="s">
        <v>174</v>
      </c>
    </row>
    <row r="44" spans="1:2" ht="16" x14ac:dyDescent="0.2">
      <c r="A44">
        <v>42</v>
      </c>
      <c r="B44" s="6" t="s">
        <v>175</v>
      </c>
    </row>
    <row r="45" spans="1:2" ht="16" x14ac:dyDescent="0.2">
      <c r="A45">
        <v>43</v>
      </c>
      <c r="B45" s="6" t="s">
        <v>171</v>
      </c>
    </row>
    <row r="46" spans="1:2" ht="16" x14ac:dyDescent="0.2">
      <c r="A46">
        <v>44</v>
      </c>
      <c r="B46" s="6" t="s">
        <v>170</v>
      </c>
    </row>
    <row r="47" spans="1:2" ht="16" x14ac:dyDescent="0.2">
      <c r="A47">
        <v>45</v>
      </c>
      <c r="B47" s="6" t="s">
        <v>172</v>
      </c>
    </row>
    <row r="48" spans="1:2" ht="16" x14ac:dyDescent="0.2">
      <c r="A48">
        <v>46</v>
      </c>
      <c r="B48" s="6" t="s">
        <v>173</v>
      </c>
    </row>
    <row r="49" spans="1:2" ht="16" x14ac:dyDescent="0.2">
      <c r="A49">
        <v>47</v>
      </c>
      <c r="B49" s="6" t="s">
        <v>177</v>
      </c>
    </row>
    <row r="50" spans="1:2" ht="16" x14ac:dyDescent="0.2">
      <c r="A50">
        <v>48</v>
      </c>
      <c r="B50" s="6" t="s">
        <v>176</v>
      </c>
    </row>
    <row r="51" spans="1:2" ht="16" x14ac:dyDescent="0.2">
      <c r="A51">
        <v>49</v>
      </c>
      <c r="B51" s="6" t="s">
        <v>177</v>
      </c>
    </row>
    <row r="52" spans="1:2" ht="16" x14ac:dyDescent="0.2">
      <c r="A52">
        <v>50</v>
      </c>
      <c r="B52" s="6" t="s">
        <v>170</v>
      </c>
    </row>
    <row r="53" spans="1:2" ht="16" x14ac:dyDescent="0.2">
      <c r="A53">
        <v>51</v>
      </c>
      <c r="B53" s="6" t="s">
        <v>176</v>
      </c>
    </row>
    <row r="54" spans="1:2" ht="16" x14ac:dyDescent="0.2">
      <c r="A54">
        <v>52</v>
      </c>
      <c r="B54" s="6" t="s">
        <v>175</v>
      </c>
    </row>
    <row r="55" spans="1:2" ht="16" x14ac:dyDescent="0.2">
      <c r="A55">
        <v>53</v>
      </c>
      <c r="B55" s="6" t="s">
        <v>171</v>
      </c>
    </row>
    <row r="56" spans="1:2" ht="16" x14ac:dyDescent="0.2">
      <c r="A56">
        <v>54</v>
      </c>
      <c r="B56" s="6" t="s">
        <v>173</v>
      </c>
    </row>
    <row r="57" spans="1:2" ht="16" x14ac:dyDescent="0.2">
      <c r="A57">
        <v>55</v>
      </c>
      <c r="B57" s="6" t="s">
        <v>172</v>
      </c>
    </row>
    <row r="58" spans="1:2" ht="16" x14ac:dyDescent="0.2">
      <c r="A58">
        <v>56</v>
      </c>
      <c r="B58" s="6" t="s">
        <v>174</v>
      </c>
    </row>
    <row r="59" spans="1:2" ht="16" x14ac:dyDescent="0.2">
      <c r="A59">
        <v>57</v>
      </c>
      <c r="B59" s="6" t="s">
        <v>171</v>
      </c>
    </row>
    <row r="60" spans="1:2" ht="16" x14ac:dyDescent="0.2">
      <c r="A60">
        <v>58</v>
      </c>
      <c r="B60" s="6" t="s">
        <v>172</v>
      </c>
    </row>
    <row r="61" spans="1:2" ht="16" x14ac:dyDescent="0.2">
      <c r="A61">
        <v>59</v>
      </c>
      <c r="B61" s="6" t="s">
        <v>176</v>
      </c>
    </row>
    <row r="62" spans="1:2" ht="16" x14ac:dyDescent="0.2">
      <c r="A62">
        <v>60</v>
      </c>
      <c r="B62" s="6" t="s">
        <v>175</v>
      </c>
    </row>
    <row r="63" spans="1:2" ht="16" x14ac:dyDescent="0.2">
      <c r="A63">
        <v>61</v>
      </c>
      <c r="B63" s="6" t="s">
        <v>174</v>
      </c>
    </row>
    <row r="64" spans="1:2" ht="16" x14ac:dyDescent="0.2">
      <c r="A64">
        <v>62</v>
      </c>
      <c r="B64" s="6" t="s">
        <v>173</v>
      </c>
    </row>
    <row r="65" spans="1:2" ht="16" x14ac:dyDescent="0.2">
      <c r="A65">
        <v>63</v>
      </c>
      <c r="B65" s="6" t="s">
        <v>170</v>
      </c>
    </row>
    <row r="66" spans="1:2" ht="16" x14ac:dyDescent="0.2">
      <c r="A66">
        <v>64</v>
      </c>
      <c r="B66" s="6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089E-98A3-4373-9B1F-03F52AF04B40}">
  <dimension ref="A1:K7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9.1640625" bestFit="1" customWidth="1"/>
  </cols>
  <sheetData>
    <row r="1" spans="1:11" x14ac:dyDescent="0.2">
      <c r="A1" t="s">
        <v>4</v>
      </c>
      <c r="B1" t="s">
        <v>82</v>
      </c>
      <c r="C1" t="s">
        <v>83</v>
      </c>
      <c r="D1" t="s">
        <v>17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">
      <c r="A2" s="1">
        <v>45856</v>
      </c>
      <c r="B2" s="3">
        <v>0.63263888888888886</v>
      </c>
      <c r="C2" t="s">
        <v>84</v>
      </c>
      <c r="D2">
        <v>54</v>
      </c>
      <c r="E2">
        <v>31.8</v>
      </c>
      <c r="F2">
        <v>767</v>
      </c>
      <c r="G2">
        <v>87.5</v>
      </c>
      <c r="H2">
        <v>5.65</v>
      </c>
      <c r="I2">
        <v>35.97</v>
      </c>
      <c r="J2">
        <v>8.06</v>
      </c>
      <c r="K2">
        <v>-64.7</v>
      </c>
    </row>
    <row r="3" spans="1:11" x14ac:dyDescent="0.2">
      <c r="A3" s="1">
        <v>45863</v>
      </c>
      <c r="B3" s="1"/>
      <c r="C3" t="s">
        <v>135</v>
      </c>
      <c r="D3">
        <v>30.4</v>
      </c>
      <c r="E3">
        <v>33.700000000000003</v>
      </c>
      <c r="G3">
        <v>92.4</v>
      </c>
      <c r="H3">
        <v>5.72</v>
      </c>
      <c r="I3">
        <v>35.68</v>
      </c>
      <c r="J3">
        <v>7.97</v>
      </c>
    </row>
    <row r="4" spans="1:11" x14ac:dyDescent="0.2">
      <c r="A4" s="1">
        <v>45863</v>
      </c>
      <c r="C4" t="s">
        <v>136</v>
      </c>
      <c r="D4">
        <v>43</v>
      </c>
      <c r="E4">
        <v>33.4</v>
      </c>
      <c r="G4">
        <v>94.4</v>
      </c>
      <c r="H4">
        <v>5.55</v>
      </c>
      <c r="I4">
        <v>35.71</v>
      </c>
      <c r="J4">
        <v>8</v>
      </c>
    </row>
    <row r="5" spans="1:11" x14ac:dyDescent="0.2">
      <c r="A5" s="1">
        <v>45863</v>
      </c>
      <c r="C5" t="s">
        <v>137</v>
      </c>
      <c r="D5">
        <v>44</v>
      </c>
      <c r="E5">
        <v>34.1</v>
      </c>
      <c r="G5">
        <v>85.2</v>
      </c>
      <c r="H5">
        <v>4.95</v>
      </c>
      <c r="I5">
        <v>35.57</v>
      </c>
      <c r="J5">
        <v>7.91</v>
      </c>
    </row>
    <row r="6" spans="1:11" x14ac:dyDescent="0.2">
      <c r="A6" s="1">
        <v>45863</v>
      </c>
      <c r="C6" t="s">
        <v>138</v>
      </c>
      <c r="D6">
        <v>47.8</v>
      </c>
      <c r="E6">
        <v>33.5</v>
      </c>
      <c r="G6">
        <v>91.5</v>
      </c>
      <c r="H6">
        <v>5.37</v>
      </c>
      <c r="I6">
        <v>35.71</v>
      </c>
      <c r="J6">
        <v>7.97</v>
      </c>
    </row>
    <row r="7" spans="1:11" x14ac:dyDescent="0.2">
      <c r="A7" s="1">
        <v>45863</v>
      </c>
      <c r="C7" t="s">
        <v>139</v>
      </c>
      <c r="D7">
        <v>55.5</v>
      </c>
      <c r="E7">
        <v>33.200000000000003</v>
      </c>
      <c r="G7">
        <v>89.8</v>
      </c>
      <c r="H7">
        <v>5.29</v>
      </c>
      <c r="I7">
        <v>35.72</v>
      </c>
      <c r="J7">
        <v>7.97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3FD4-4A54-4E12-BB2B-5850A2DB40DB}">
  <dimension ref="A1:F21"/>
  <sheetViews>
    <sheetView workbookViewId="0">
      <selection activeCell="F10" sqref="F10"/>
    </sheetView>
  </sheetViews>
  <sheetFormatPr baseColWidth="10" defaultColWidth="8.83203125" defaultRowHeight="15" x14ac:dyDescent="0.2"/>
  <cols>
    <col min="3" max="3" width="9.1640625" bestFit="1" customWidth="1"/>
  </cols>
  <sheetData>
    <row r="1" spans="1:6" x14ac:dyDescent="0.2">
      <c r="A1" t="s">
        <v>149</v>
      </c>
      <c r="D1" t="s">
        <v>162</v>
      </c>
      <c r="F1" t="s">
        <v>167</v>
      </c>
    </row>
    <row r="2" spans="1:6" x14ac:dyDescent="0.2">
      <c r="A2" t="s">
        <v>10</v>
      </c>
      <c r="B2" t="s">
        <v>166</v>
      </c>
      <c r="C2" t="s">
        <v>150</v>
      </c>
      <c r="D2" t="s">
        <v>163</v>
      </c>
      <c r="E2" t="s">
        <v>21</v>
      </c>
    </row>
    <row r="3" spans="1:6" x14ac:dyDescent="0.2">
      <c r="A3">
        <v>3</v>
      </c>
      <c r="B3">
        <v>10568871</v>
      </c>
      <c r="C3" s="3">
        <v>0.40069444444444446</v>
      </c>
      <c r="D3" s="3">
        <v>0.50208333333333333</v>
      </c>
    </row>
    <row r="4" spans="1:6" x14ac:dyDescent="0.2">
      <c r="A4">
        <v>14</v>
      </c>
      <c r="B4">
        <v>10550956</v>
      </c>
      <c r="C4" s="3">
        <v>0.42083333333333334</v>
      </c>
      <c r="D4" s="3">
        <v>0.50486111111111109</v>
      </c>
      <c r="E4" t="s">
        <v>168</v>
      </c>
    </row>
    <row r="5" spans="1:6" x14ac:dyDescent="0.2">
      <c r="A5">
        <v>20</v>
      </c>
      <c r="B5">
        <v>10550955</v>
      </c>
      <c r="C5" s="3">
        <v>0.43472222222222223</v>
      </c>
      <c r="D5" s="3">
        <v>0.51388888888888884</v>
      </c>
    </row>
    <row r="6" spans="1:6" x14ac:dyDescent="0.2">
      <c r="A6">
        <v>29</v>
      </c>
      <c r="B6" t="s">
        <v>164</v>
      </c>
      <c r="C6" s="3">
        <v>0.45069444444444445</v>
      </c>
      <c r="D6" t="s">
        <v>164</v>
      </c>
    </row>
    <row r="7" spans="1:6" x14ac:dyDescent="0.2">
      <c r="A7">
        <v>40</v>
      </c>
      <c r="B7" t="s">
        <v>164</v>
      </c>
      <c r="C7" s="3">
        <v>0.45694444444444443</v>
      </c>
      <c r="D7" t="s">
        <v>164</v>
      </c>
    </row>
    <row r="8" spans="1:6" x14ac:dyDescent="0.2">
      <c r="A8">
        <v>46</v>
      </c>
      <c r="B8">
        <v>10550960</v>
      </c>
      <c r="C8" s="3">
        <v>0.4597222222222222</v>
      </c>
      <c r="D8" s="3">
        <v>0.52569444444444446</v>
      </c>
    </row>
    <row r="9" spans="1:6" x14ac:dyDescent="0.2">
      <c r="A9">
        <v>52</v>
      </c>
      <c r="B9">
        <v>10550962</v>
      </c>
      <c r="C9" s="3">
        <v>0.46250000000000002</v>
      </c>
      <c r="D9" s="3">
        <v>0.52847222222222223</v>
      </c>
    </row>
    <row r="10" spans="1:6" x14ac:dyDescent="0.2">
      <c r="A10">
        <v>57</v>
      </c>
      <c r="B10">
        <v>10551956</v>
      </c>
      <c r="C10" s="3">
        <v>0.46527777777777779</v>
      </c>
      <c r="D10" s="3">
        <v>0.52986111111111112</v>
      </c>
      <c r="E10" t="s">
        <v>165</v>
      </c>
    </row>
    <row r="12" spans="1:6" x14ac:dyDescent="0.2">
      <c r="A12" t="s">
        <v>161</v>
      </c>
      <c r="C12" s="1">
        <v>46066</v>
      </c>
    </row>
    <row r="13" spans="1:6" x14ac:dyDescent="0.2">
      <c r="A13" t="s">
        <v>10</v>
      </c>
      <c r="B13" t="s">
        <v>166</v>
      </c>
      <c r="C13" t="s">
        <v>150</v>
      </c>
    </row>
    <row r="14" spans="1:6" x14ac:dyDescent="0.2">
      <c r="A14">
        <v>3</v>
      </c>
      <c r="B14">
        <v>22233886</v>
      </c>
      <c r="C14" s="3">
        <v>0.5083333333333333</v>
      </c>
    </row>
    <row r="15" spans="1:6" x14ac:dyDescent="0.2">
      <c r="A15">
        <v>14</v>
      </c>
      <c r="B15">
        <v>22233888</v>
      </c>
      <c r="C15" s="3">
        <v>0.5131944444444444</v>
      </c>
    </row>
    <row r="16" spans="1:6" x14ac:dyDescent="0.2">
      <c r="A16">
        <v>20</v>
      </c>
      <c r="B16">
        <v>22233887</v>
      </c>
      <c r="C16" s="3">
        <v>0.51597222222222228</v>
      </c>
    </row>
    <row r="17" spans="1:3" x14ac:dyDescent="0.2">
      <c r="A17">
        <v>29</v>
      </c>
      <c r="B17">
        <v>22233884</v>
      </c>
      <c r="C17" s="3">
        <v>0.52222222222222225</v>
      </c>
    </row>
    <row r="18" spans="1:3" x14ac:dyDescent="0.2">
      <c r="A18">
        <v>40</v>
      </c>
      <c r="B18">
        <v>22233883</v>
      </c>
      <c r="C18" s="3">
        <v>0.52500000000000002</v>
      </c>
    </row>
    <row r="19" spans="1:3" x14ac:dyDescent="0.2">
      <c r="A19">
        <v>46</v>
      </c>
      <c r="B19">
        <v>22233881</v>
      </c>
      <c r="C19" s="3">
        <v>0.52708333333333335</v>
      </c>
    </row>
    <row r="20" spans="1:3" x14ac:dyDescent="0.2">
      <c r="A20">
        <v>52</v>
      </c>
      <c r="B20">
        <v>22233885</v>
      </c>
      <c r="C20" s="3">
        <v>0.52847222222222223</v>
      </c>
    </row>
    <row r="21" spans="1:3" x14ac:dyDescent="0.2">
      <c r="A21">
        <v>57</v>
      </c>
      <c r="B21">
        <v>22233882</v>
      </c>
      <c r="C21" s="3">
        <v>0.53055555555555556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zoomScale="112" zoomScaleNormal="112" workbookViewId="0">
      <selection activeCell="D14" sqref="D14"/>
    </sheetView>
  </sheetViews>
  <sheetFormatPr baseColWidth="10" defaultColWidth="8.83203125" defaultRowHeight="15" x14ac:dyDescent="0.2"/>
  <cols>
    <col min="1" max="1" width="11.33203125" customWidth="1"/>
    <col min="3" max="3" width="11" bestFit="1" customWidth="1"/>
    <col min="4" max="4" width="10.83203125" bestFit="1" customWidth="1"/>
  </cols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</row>
    <row r="3" spans="1:12" x14ac:dyDescent="0.2">
      <c r="A3" t="s">
        <v>4</v>
      </c>
      <c r="B3" t="s">
        <v>3</v>
      </c>
      <c r="C3" t="s">
        <v>8</v>
      </c>
      <c r="D3" t="s">
        <v>9</v>
      </c>
    </row>
    <row r="4" spans="1:12" x14ac:dyDescent="0.2">
      <c r="A4" s="1">
        <v>45824</v>
      </c>
      <c r="B4">
        <v>1</v>
      </c>
      <c r="C4">
        <v>1</v>
      </c>
      <c r="D4">
        <v>3.4</v>
      </c>
    </row>
    <row r="5" spans="1:12" x14ac:dyDescent="0.2">
      <c r="A5" s="1">
        <v>45824</v>
      </c>
      <c r="B5">
        <v>2</v>
      </c>
      <c r="C5">
        <v>9</v>
      </c>
      <c r="D5">
        <v>4.3</v>
      </c>
      <c r="E5">
        <v>3.4</v>
      </c>
      <c r="F5">
        <v>3.2</v>
      </c>
      <c r="G5">
        <v>4.0999999999999996</v>
      </c>
      <c r="H5">
        <v>4</v>
      </c>
      <c r="I5">
        <v>3.2</v>
      </c>
      <c r="J5">
        <v>4.5</v>
      </c>
      <c r="K5">
        <v>2.8</v>
      </c>
      <c r="L5">
        <v>3.3</v>
      </c>
    </row>
    <row r="6" spans="1:12" x14ac:dyDescent="0.2">
      <c r="A6" s="1">
        <v>45825</v>
      </c>
      <c r="B6">
        <v>3</v>
      </c>
      <c r="C6">
        <v>2</v>
      </c>
      <c r="D6">
        <v>2.6</v>
      </c>
      <c r="E6">
        <v>3.9</v>
      </c>
    </row>
    <row r="7" spans="1:12" x14ac:dyDescent="0.2">
      <c r="A7" s="1">
        <v>45825</v>
      </c>
      <c r="B7">
        <v>4</v>
      </c>
      <c r="C7">
        <v>2</v>
      </c>
      <c r="D7">
        <v>3.7</v>
      </c>
      <c r="E7">
        <v>4</v>
      </c>
    </row>
    <row r="8" spans="1:12" x14ac:dyDescent="0.2">
      <c r="A8" s="1">
        <v>45825</v>
      </c>
      <c r="B8">
        <v>5</v>
      </c>
      <c r="C8">
        <v>1</v>
      </c>
      <c r="D8">
        <v>4.0999999999999996</v>
      </c>
    </row>
    <row r="9" spans="1:12" x14ac:dyDescent="0.2">
      <c r="A9" s="1">
        <v>45825</v>
      </c>
      <c r="B9">
        <v>6</v>
      </c>
      <c r="C9">
        <v>0</v>
      </c>
    </row>
    <row r="10" spans="1:12" x14ac:dyDescent="0.2">
      <c r="A10" s="1">
        <v>45825</v>
      </c>
      <c r="B10">
        <v>7</v>
      </c>
      <c r="C10">
        <v>4</v>
      </c>
      <c r="D10">
        <v>3.9</v>
      </c>
      <c r="E10">
        <v>4.0999999999999996</v>
      </c>
      <c r="F10">
        <v>4.0999999999999996</v>
      </c>
      <c r="G10">
        <v>3.6</v>
      </c>
    </row>
    <row r="11" spans="1:12" x14ac:dyDescent="0.2">
      <c r="A11" s="1">
        <v>45825</v>
      </c>
      <c r="B11">
        <v>8</v>
      </c>
      <c r="C11">
        <v>1</v>
      </c>
      <c r="D11">
        <v>4.2</v>
      </c>
    </row>
    <row r="12" spans="1:12" x14ac:dyDescent="0.2">
      <c r="A12" s="1">
        <v>45825</v>
      </c>
      <c r="B12">
        <v>9</v>
      </c>
      <c r="C12">
        <v>1</v>
      </c>
      <c r="D12">
        <v>3.9</v>
      </c>
    </row>
    <row r="13" spans="1:12" x14ac:dyDescent="0.2">
      <c r="A13" s="1">
        <v>45825</v>
      </c>
      <c r="B13">
        <v>10</v>
      </c>
      <c r="C13">
        <v>1</v>
      </c>
      <c r="D13">
        <v>4.0999999999999996</v>
      </c>
      <c r="E13">
        <v>4</v>
      </c>
    </row>
    <row r="14" spans="1:12" x14ac:dyDescent="0.2">
      <c r="A14" s="1">
        <v>45825</v>
      </c>
      <c r="B14">
        <v>11</v>
      </c>
      <c r="C14">
        <v>2</v>
      </c>
      <c r="D14">
        <v>3.6</v>
      </c>
      <c r="E14">
        <v>3.8</v>
      </c>
    </row>
    <row r="15" spans="1:12" x14ac:dyDescent="0.2">
      <c r="A15" s="1">
        <v>45825</v>
      </c>
      <c r="B15">
        <v>12</v>
      </c>
      <c r="C15">
        <v>6</v>
      </c>
      <c r="D15">
        <v>3.7</v>
      </c>
      <c r="E15">
        <v>4</v>
      </c>
      <c r="F15">
        <v>4.4000000000000004</v>
      </c>
      <c r="G15">
        <v>3.2</v>
      </c>
      <c r="H15">
        <v>2.4</v>
      </c>
      <c r="I15">
        <v>3.8</v>
      </c>
    </row>
    <row r="16" spans="1:12" x14ac:dyDescent="0.2">
      <c r="A16" s="1">
        <v>45825</v>
      </c>
      <c r="B16">
        <v>13</v>
      </c>
      <c r="C16">
        <v>0</v>
      </c>
    </row>
    <row r="17" spans="1:12" x14ac:dyDescent="0.2">
      <c r="A17" s="1">
        <v>45825</v>
      </c>
      <c r="B17">
        <v>14</v>
      </c>
      <c r="C17">
        <v>1</v>
      </c>
      <c r="D17">
        <v>4.2</v>
      </c>
    </row>
    <row r="18" spans="1:12" x14ac:dyDescent="0.2">
      <c r="A18" s="1">
        <v>45825</v>
      </c>
      <c r="B18">
        <v>15</v>
      </c>
      <c r="C18">
        <v>4</v>
      </c>
      <c r="D18">
        <v>4.0999999999999996</v>
      </c>
      <c r="E18">
        <v>3.4</v>
      </c>
      <c r="F18">
        <v>3.4</v>
      </c>
      <c r="G18">
        <v>3.9</v>
      </c>
    </row>
    <row r="19" spans="1:12" x14ac:dyDescent="0.2">
      <c r="A19" s="1">
        <v>45825</v>
      </c>
      <c r="B19">
        <v>16</v>
      </c>
      <c r="C19">
        <v>3</v>
      </c>
      <c r="D19">
        <v>3.8</v>
      </c>
      <c r="E19">
        <v>3.9</v>
      </c>
      <c r="F19">
        <v>3.9</v>
      </c>
    </row>
    <row r="20" spans="1:12" x14ac:dyDescent="0.2">
      <c r="A20" s="1">
        <v>45825</v>
      </c>
      <c r="B20">
        <v>17</v>
      </c>
      <c r="C20">
        <v>2</v>
      </c>
      <c r="D20">
        <v>3.6</v>
      </c>
      <c r="E20">
        <v>3.1</v>
      </c>
    </row>
    <row r="21" spans="1:12" x14ac:dyDescent="0.2">
      <c r="A21" s="1">
        <v>45825</v>
      </c>
      <c r="B21">
        <v>18</v>
      </c>
      <c r="C21">
        <v>2</v>
      </c>
      <c r="D21">
        <v>3.3</v>
      </c>
      <c r="E21">
        <v>2.7</v>
      </c>
    </row>
    <row r="22" spans="1:12" x14ac:dyDescent="0.2">
      <c r="A22" s="1">
        <v>45826</v>
      </c>
      <c r="B22">
        <v>19</v>
      </c>
      <c r="C22">
        <v>7</v>
      </c>
      <c r="D22">
        <v>4.0999999999999996</v>
      </c>
      <c r="E22">
        <v>3.9</v>
      </c>
      <c r="F22">
        <v>2.9</v>
      </c>
      <c r="G22">
        <v>3.9</v>
      </c>
      <c r="H22">
        <v>4.0999999999999996</v>
      </c>
      <c r="I22">
        <v>4</v>
      </c>
      <c r="J22">
        <v>4.3</v>
      </c>
    </row>
    <row r="23" spans="1:12" x14ac:dyDescent="0.2">
      <c r="A23" s="1">
        <v>45826</v>
      </c>
      <c r="B23">
        <v>20</v>
      </c>
      <c r="C23">
        <v>0</v>
      </c>
    </row>
    <row r="24" spans="1:12" x14ac:dyDescent="0.2">
      <c r="A24" s="1">
        <v>45826</v>
      </c>
      <c r="B24">
        <v>21</v>
      </c>
      <c r="C24">
        <v>10</v>
      </c>
      <c r="D24">
        <v>3.7</v>
      </c>
      <c r="E24">
        <v>4.5</v>
      </c>
      <c r="F24">
        <v>1.8</v>
      </c>
      <c r="G24">
        <v>4.7</v>
      </c>
      <c r="H24">
        <v>3.5</v>
      </c>
      <c r="I24">
        <v>2.5</v>
      </c>
      <c r="J24">
        <v>3.5</v>
      </c>
      <c r="K24">
        <v>3.4</v>
      </c>
      <c r="L24">
        <v>4</v>
      </c>
    </row>
    <row r="25" spans="1:12" x14ac:dyDescent="0.2">
      <c r="A25" s="1">
        <v>45826</v>
      </c>
      <c r="B25">
        <v>22</v>
      </c>
      <c r="C25">
        <v>3</v>
      </c>
      <c r="D25">
        <v>2</v>
      </c>
      <c r="E25">
        <v>4.0999999999999996</v>
      </c>
      <c r="F25">
        <v>3.8</v>
      </c>
    </row>
    <row r="26" spans="1:12" x14ac:dyDescent="0.2">
      <c r="A26" s="1">
        <v>45826</v>
      </c>
      <c r="B26">
        <v>23</v>
      </c>
      <c r="C26">
        <v>1</v>
      </c>
      <c r="D26">
        <v>4.2</v>
      </c>
    </row>
    <row r="27" spans="1:12" x14ac:dyDescent="0.2">
      <c r="A27" s="1">
        <v>45826</v>
      </c>
      <c r="B27">
        <v>24</v>
      </c>
      <c r="C27">
        <v>0</v>
      </c>
    </row>
    <row r="28" spans="1:12" x14ac:dyDescent="0.2">
      <c r="A28" s="1">
        <v>45826</v>
      </c>
      <c r="B28">
        <v>25</v>
      </c>
      <c r="C28">
        <v>0</v>
      </c>
    </row>
    <row r="29" spans="1:12" x14ac:dyDescent="0.2">
      <c r="A29" s="1">
        <v>45826</v>
      </c>
      <c r="B29">
        <v>26</v>
      </c>
      <c r="C29">
        <v>0</v>
      </c>
    </row>
    <row r="30" spans="1:12" x14ac:dyDescent="0.2">
      <c r="A30" s="1">
        <v>45826</v>
      </c>
      <c r="B30">
        <v>27</v>
      </c>
      <c r="C30">
        <v>1</v>
      </c>
      <c r="D30">
        <v>4.0999999999999996</v>
      </c>
    </row>
    <row r="31" spans="1:12" x14ac:dyDescent="0.2">
      <c r="A31" s="1">
        <v>45826</v>
      </c>
      <c r="B31">
        <v>28</v>
      </c>
      <c r="C31">
        <v>0</v>
      </c>
    </row>
    <row r="32" spans="1:12" x14ac:dyDescent="0.2">
      <c r="A32" s="1">
        <v>45826</v>
      </c>
      <c r="B32">
        <v>29</v>
      </c>
      <c r="C32">
        <v>0</v>
      </c>
    </row>
    <row r="33" spans="1:6" x14ac:dyDescent="0.2">
      <c r="A33" s="1">
        <v>45826</v>
      </c>
      <c r="B33">
        <v>30</v>
      </c>
      <c r="C33">
        <v>0</v>
      </c>
    </row>
    <row r="34" spans="1:6" x14ac:dyDescent="0.2">
      <c r="A34" s="1">
        <v>45826</v>
      </c>
      <c r="B34">
        <v>31</v>
      </c>
      <c r="C34">
        <v>0</v>
      </c>
    </row>
    <row r="35" spans="1:6" x14ac:dyDescent="0.2">
      <c r="A35" s="1">
        <v>45826</v>
      </c>
      <c r="B35">
        <v>32</v>
      </c>
      <c r="C35">
        <v>3</v>
      </c>
      <c r="D35">
        <v>0.7</v>
      </c>
      <c r="E35">
        <v>3.1</v>
      </c>
      <c r="F35">
        <v>3.2</v>
      </c>
    </row>
    <row r="36" spans="1:6" x14ac:dyDescent="0.2">
      <c r="A36" s="1">
        <v>45826</v>
      </c>
      <c r="B36">
        <v>33</v>
      </c>
      <c r="C36">
        <v>0</v>
      </c>
    </row>
    <row r="37" spans="1:6" x14ac:dyDescent="0.2">
      <c r="A37" s="1">
        <v>45826</v>
      </c>
      <c r="B37">
        <v>34</v>
      </c>
      <c r="C37">
        <v>0</v>
      </c>
    </row>
    <row r="38" spans="1:6" x14ac:dyDescent="0.2">
      <c r="A38" s="1">
        <v>45826</v>
      </c>
      <c r="B38">
        <v>35</v>
      </c>
      <c r="C38">
        <v>0</v>
      </c>
    </row>
    <row r="39" spans="1:6" x14ac:dyDescent="0.2">
      <c r="A39" s="1">
        <v>45826</v>
      </c>
      <c r="B39">
        <v>36</v>
      </c>
      <c r="C39">
        <v>0</v>
      </c>
    </row>
    <row r="40" spans="1:6" x14ac:dyDescent="0.2">
      <c r="A40" s="1">
        <v>45826</v>
      </c>
      <c r="B40">
        <v>37</v>
      </c>
      <c r="C40">
        <v>0</v>
      </c>
    </row>
    <row r="41" spans="1:6" x14ac:dyDescent="0.2">
      <c r="A41" s="1">
        <v>45826</v>
      </c>
      <c r="B41">
        <v>38</v>
      </c>
      <c r="C41">
        <v>0</v>
      </c>
    </row>
    <row r="42" spans="1:6" x14ac:dyDescent="0.2">
      <c r="A42" s="1">
        <v>45826</v>
      </c>
      <c r="B42">
        <v>39</v>
      </c>
      <c r="C42">
        <v>0</v>
      </c>
    </row>
    <row r="43" spans="1:6" x14ac:dyDescent="0.2">
      <c r="A43" s="1">
        <v>45826</v>
      </c>
      <c r="B43">
        <v>40</v>
      </c>
      <c r="C43">
        <v>0</v>
      </c>
    </row>
    <row r="44" spans="1:6" x14ac:dyDescent="0.2">
      <c r="A44" s="1">
        <v>45826</v>
      </c>
      <c r="B44">
        <v>41</v>
      </c>
      <c r="C44">
        <v>0</v>
      </c>
    </row>
    <row r="45" spans="1:6" x14ac:dyDescent="0.2">
      <c r="A45" s="1">
        <v>45826</v>
      </c>
      <c r="B45">
        <v>42</v>
      </c>
      <c r="C45">
        <v>0</v>
      </c>
    </row>
    <row r="46" spans="1:6" x14ac:dyDescent="0.2">
      <c r="A46" s="1">
        <v>45826</v>
      </c>
      <c r="B46">
        <v>43</v>
      </c>
      <c r="C46">
        <v>0</v>
      </c>
    </row>
    <row r="47" spans="1:6" x14ac:dyDescent="0.2">
      <c r="A47" s="1">
        <v>45826</v>
      </c>
      <c r="B47">
        <v>44</v>
      </c>
      <c r="C47">
        <v>0</v>
      </c>
    </row>
    <row r="48" spans="1:6" x14ac:dyDescent="0.2">
      <c r="A48" s="1">
        <v>45826</v>
      </c>
      <c r="B48">
        <v>45</v>
      </c>
      <c r="C48">
        <v>0</v>
      </c>
    </row>
    <row r="49" spans="1:4" x14ac:dyDescent="0.2">
      <c r="A49" s="1">
        <v>45826</v>
      </c>
      <c r="B49">
        <v>46</v>
      </c>
      <c r="C49">
        <v>0</v>
      </c>
    </row>
    <row r="50" spans="1:4" x14ac:dyDescent="0.2">
      <c r="A50" s="1">
        <v>45826</v>
      </c>
      <c r="B50">
        <v>47</v>
      </c>
      <c r="C50">
        <v>0</v>
      </c>
    </row>
    <row r="51" spans="1:4" x14ac:dyDescent="0.2">
      <c r="A51" s="1">
        <v>45826</v>
      </c>
      <c r="B51">
        <v>48</v>
      </c>
      <c r="C51">
        <v>0</v>
      </c>
    </row>
    <row r="52" spans="1:4" x14ac:dyDescent="0.2">
      <c r="A52" s="1">
        <v>45826</v>
      </c>
      <c r="B52">
        <v>49</v>
      </c>
      <c r="C52">
        <v>0</v>
      </c>
    </row>
    <row r="53" spans="1:4" x14ac:dyDescent="0.2">
      <c r="A53" s="1">
        <v>45826</v>
      </c>
      <c r="B53">
        <v>50</v>
      </c>
      <c r="C53">
        <v>0</v>
      </c>
    </row>
    <row r="54" spans="1:4" x14ac:dyDescent="0.2">
      <c r="A54" s="1">
        <v>45826</v>
      </c>
      <c r="B54">
        <v>51</v>
      </c>
      <c r="C54">
        <v>0</v>
      </c>
    </row>
    <row r="55" spans="1:4" x14ac:dyDescent="0.2">
      <c r="A55" s="1">
        <v>45826</v>
      </c>
      <c r="B55">
        <v>52</v>
      </c>
      <c r="C55">
        <v>0</v>
      </c>
    </row>
    <row r="56" spans="1:4" x14ac:dyDescent="0.2">
      <c r="A56" s="1">
        <v>45826</v>
      </c>
      <c r="B56">
        <v>53</v>
      </c>
      <c r="C56">
        <v>0</v>
      </c>
    </row>
    <row r="57" spans="1:4" x14ac:dyDescent="0.2">
      <c r="A57" s="1">
        <v>45826</v>
      </c>
      <c r="B57">
        <v>54</v>
      </c>
      <c r="C57">
        <v>0</v>
      </c>
    </row>
    <row r="58" spans="1:4" x14ac:dyDescent="0.2">
      <c r="A58" s="1">
        <v>45826</v>
      </c>
      <c r="B58">
        <v>55</v>
      </c>
      <c r="C58">
        <v>1</v>
      </c>
      <c r="D58">
        <v>4.9000000000000004</v>
      </c>
    </row>
    <row r="59" spans="1:4" x14ac:dyDescent="0.2">
      <c r="A59" s="1">
        <v>45826</v>
      </c>
      <c r="B59">
        <v>56</v>
      </c>
      <c r="C59">
        <v>0</v>
      </c>
    </row>
    <row r="60" spans="1:4" x14ac:dyDescent="0.2">
      <c r="A60" s="1">
        <v>45826</v>
      </c>
      <c r="B60">
        <v>57</v>
      </c>
      <c r="C60">
        <v>0</v>
      </c>
    </row>
    <row r="61" spans="1:4" x14ac:dyDescent="0.2">
      <c r="A61" s="1">
        <v>45826</v>
      </c>
      <c r="B61">
        <v>58</v>
      </c>
      <c r="C61">
        <v>0</v>
      </c>
    </row>
    <row r="62" spans="1:4" x14ac:dyDescent="0.2">
      <c r="A62" s="1">
        <v>45826</v>
      </c>
      <c r="B62">
        <v>59</v>
      </c>
      <c r="C62">
        <v>0</v>
      </c>
    </row>
    <row r="63" spans="1:4" x14ac:dyDescent="0.2">
      <c r="A63" s="1">
        <v>45826</v>
      </c>
      <c r="B63">
        <v>60</v>
      </c>
      <c r="C63">
        <v>0</v>
      </c>
    </row>
    <row r="64" spans="1:4" x14ac:dyDescent="0.2">
      <c r="A64" s="1">
        <v>45826</v>
      </c>
      <c r="B64">
        <v>61</v>
      </c>
      <c r="C64">
        <v>0</v>
      </c>
    </row>
    <row r="65" spans="1:10" x14ac:dyDescent="0.2">
      <c r="A65" s="1">
        <v>45826</v>
      </c>
      <c r="B65">
        <v>62</v>
      </c>
      <c r="C65">
        <v>6</v>
      </c>
      <c r="D65">
        <v>4.9000000000000004</v>
      </c>
      <c r="E65">
        <v>4.8</v>
      </c>
      <c r="F65">
        <v>3.6</v>
      </c>
      <c r="G65">
        <v>4.2</v>
      </c>
      <c r="H65">
        <v>4.0999999999999996</v>
      </c>
      <c r="I65">
        <v>4</v>
      </c>
      <c r="J65">
        <v>3.5</v>
      </c>
    </row>
    <row r="66" spans="1:10" x14ac:dyDescent="0.2">
      <c r="A66" s="1">
        <v>45826</v>
      </c>
      <c r="B66">
        <v>63</v>
      </c>
      <c r="C66">
        <v>0</v>
      </c>
    </row>
    <row r="67" spans="1:10" x14ac:dyDescent="0.2">
      <c r="A67" s="1">
        <v>45826</v>
      </c>
      <c r="B67">
        <v>64</v>
      </c>
      <c r="C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DC6D-777F-427F-8702-2B350C285AF4}">
  <dimension ref="A2:F196"/>
  <sheetViews>
    <sheetView zoomScaleNormal="100" workbookViewId="0">
      <selection activeCell="B1" sqref="B1"/>
    </sheetView>
  </sheetViews>
  <sheetFormatPr baseColWidth="10" defaultColWidth="8.83203125" defaultRowHeight="15" x14ac:dyDescent="0.2"/>
  <cols>
    <col min="1" max="1" width="9.1640625" bestFit="1" customWidth="1"/>
    <col min="2" max="2" width="10" bestFit="1" customWidth="1"/>
  </cols>
  <sheetData>
    <row r="2" spans="1:6" x14ac:dyDescent="0.2">
      <c r="A2" t="s">
        <v>5</v>
      </c>
    </row>
    <row r="3" spans="1:6" x14ac:dyDescent="0.2">
      <c r="A3" t="s">
        <v>6</v>
      </c>
    </row>
    <row r="4" spans="1:6" x14ac:dyDescent="0.2">
      <c r="A4" t="s">
        <v>4</v>
      </c>
      <c r="B4" t="s">
        <v>3</v>
      </c>
      <c r="C4" t="s">
        <v>7</v>
      </c>
      <c r="D4" t="s">
        <v>11</v>
      </c>
      <c r="E4" t="s">
        <v>12</v>
      </c>
      <c r="F4" t="s">
        <v>13</v>
      </c>
    </row>
    <row r="5" spans="1:6" x14ac:dyDescent="0.2">
      <c r="A5" s="1">
        <v>45833</v>
      </c>
      <c r="B5" cm="1">
        <f t="array" ref="B5:B196">ROUNDUP(_xlfn.SEQUENCE(192)/3,0)</f>
        <v>1</v>
      </c>
      <c r="C5">
        <f>MOD(ROW()-1,3)+1</f>
        <v>2</v>
      </c>
      <c r="D5">
        <v>60</v>
      </c>
      <c r="E5">
        <f>100-D5</f>
        <v>40</v>
      </c>
      <c r="F5">
        <v>3</v>
      </c>
    </row>
    <row r="6" spans="1:6" x14ac:dyDescent="0.2">
      <c r="A6" s="1">
        <v>45833</v>
      </c>
      <c r="B6">
        <v>1</v>
      </c>
      <c r="C6">
        <f t="shared" ref="C6:C69" si="0">MOD(ROW()-1,3)+1</f>
        <v>3</v>
      </c>
      <c r="D6">
        <v>40</v>
      </c>
      <c r="E6">
        <f t="shared" ref="E6:E69" si="1">100-D6</f>
        <v>60</v>
      </c>
      <c r="F6">
        <v>5</v>
      </c>
    </row>
    <row r="7" spans="1:6" x14ac:dyDescent="0.2">
      <c r="A7" s="1">
        <v>45833</v>
      </c>
      <c r="B7">
        <v>1</v>
      </c>
      <c r="C7">
        <f t="shared" si="0"/>
        <v>1</v>
      </c>
      <c r="D7">
        <v>50</v>
      </c>
      <c r="E7">
        <f t="shared" si="1"/>
        <v>50</v>
      </c>
      <c r="F7">
        <v>4</v>
      </c>
    </row>
    <row r="8" spans="1:6" x14ac:dyDescent="0.2">
      <c r="A8" s="1">
        <v>45833</v>
      </c>
      <c r="B8">
        <v>2</v>
      </c>
      <c r="C8">
        <f t="shared" si="0"/>
        <v>2</v>
      </c>
      <c r="D8">
        <v>5</v>
      </c>
      <c r="E8">
        <f t="shared" si="1"/>
        <v>95</v>
      </c>
      <c r="F8">
        <v>1</v>
      </c>
    </row>
    <row r="9" spans="1:6" x14ac:dyDescent="0.2">
      <c r="A9" s="1">
        <v>45833</v>
      </c>
      <c r="B9">
        <v>2</v>
      </c>
      <c r="C9">
        <f t="shared" si="0"/>
        <v>3</v>
      </c>
      <c r="D9">
        <v>40</v>
      </c>
      <c r="E9">
        <f t="shared" si="1"/>
        <v>60</v>
      </c>
      <c r="F9">
        <v>4</v>
      </c>
    </row>
    <row r="10" spans="1:6" x14ac:dyDescent="0.2">
      <c r="A10" s="1">
        <v>45833</v>
      </c>
      <c r="B10">
        <v>2</v>
      </c>
      <c r="C10">
        <f t="shared" si="0"/>
        <v>1</v>
      </c>
      <c r="D10">
        <v>15</v>
      </c>
      <c r="E10">
        <f t="shared" si="1"/>
        <v>85</v>
      </c>
      <c r="F10">
        <v>2</v>
      </c>
    </row>
    <row r="11" spans="1:6" x14ac:dyDescent="0.2">
      <c r="A11" s="1">
        <v>45833</v>
      </c>
      <c r="B11">
        <v>3</v>
      </c>
      <c r="C11">
        <f t="shared" si="0"/>
        <v>2</v>
      </c>
      <c r="D11">
        <v>30</v>
      </c>
      <c r="E11">
        <f t="shared" si="1"/>
        <v>70</v>
      </c>
      <c r="F11">
        <v>4</v>
      </c>
    </row>
    <row r="12" spans="1:6" x14ac:dyDescent="0.2">
      <c r="A12" s="1">
        <v>45833</v>
      </c>
      <c r="B12">
        <v>3</v>
      </c>
      <c r="C12">
        <f t="shared" si="0"/>
        <v>3</v>
      </c>
      <c r="D12">
        <v>15</v>
      </c>
      <c r="E12">
        <f t="shared" si="1"/>
        <v>85</v>
      </c>
      <c r="F12">
        <v>1</v>
      </c>
    </row>
    <row r="13" spans="1:6" x14ac:dyDescent="0.2">
      <c r="A13" s="1">
        <v>45833</v>
      </c>
      <c r="B13">
        <v>3</v>
      </c>
      <c r="C13">
        <f t="shared" si="0"/>
        <v>1</v>
      </c>
      <c r="D13">
        <v>60</v>
      </c>
      <c r="E13">
        <f t="shared" si="1"/>
        <v>40</v>
      </c>
      <c r="F13">
        <v>5</v>
      </c>
    </row>
    <row r="14" spans="1:6" x14ac:dyDescent="0.2">
      <c r="A14" s="1">
        <v>45833</v>
      </c>
      <c r="B14">
        <v>4</v>
      </c>
      <c r="C14">
        <f t="shared" si="0"/>
        <v>2</v>
      </c>
      <c r="D14">
        <v>15</v>
      </c>
      <c r="E14">
        <f t="shared" si="1"/>
        <v>85</v>
      </c>
      <c r="F14">
        <v>2</v>
      </c>
    </row>
    <row r="15" spans="1:6" x14ac:dyDescent="0.2">
      <c r="A15" s="1">
        <v>45833</v>
      </c>
      <c r="B15">
        <v>4</v>
      </c>
      <c r="C15">
        <f t="shared" si="0"/>
        <v>3</v>
      </c>
      <c r="D15">
        <v>25</v>
      </c>
      <c r="E15">
        <f t="shared" si="1"/>
        <v>75</v>
      </c>
      <c r="F15">
        <v>2</v>
      </c>
    </row>
    <row r="16" spans="1:6" x14ac:dyDescent="0.2">
      <c r="A16" s="1">
        <v>45833</v>
      </c>
      <c r="B16">
        <v>4</v>
      </c>
      <c r="C16">
        <f t="shared" si="0"/>
        <v>1</v>
      </c>
      <c r="D16">
        <v>20</v>
      </c>
      <c r="E16">
        <f t="shared" si="1"/>
        <v>80</v>
      </c>
      <c r="F16">
        <v>2</v>
      </c>
    </row>
    <row r="17" spans="1:6" x14ac:dyDescent="0.2">
      <c r="A17" s="1">
        <v>45833</v>
      </c>
      <c r="B17">
        <v>5</v>
      </c>
      <c r="C17">
        <f t="shared" si="0"/>
        <v>2</v>
      </c>
      <c r="D17">
        <v>70</v>
      </c>
      <c r="E17">
        <f t="shared" si="1"/>
        <v>30</v>
      </c>
      <c r="F17">
        <v>3</v>
      </c>
    </row>
    <row r="18" spans="1:6" x14ac:dyDescent="0.2">
      <c r="A18" s="1">
        <v>45833</v>
      </c>
      <c r="B18">
        <v>5</v>
      </c>
      <c r="C18">
        <f t="shared" si="0"/>
        <v>3</v>
      </c>
      <c r="D18">
        <v>5</v>
      </c>
      <c r="E18">
        <f t="shared" si="1"/>
        <v>95</v>
      </c>
      <c r="F18">
        <v>2</v>
      </c>
    </row>
    <row r="19" spans="1:6" x14ac:dyDescent="0.2">
      <c r="A19" s="1">
        <v>45833</v>
      </c>
      <c r="B19">
        <v>5</v>
      </c>
      <c r="C19">
        <f t="shared" si="0"/>
        <v>1</v>
      </c>
      <c r="D19">
        <v>40</v>
      </c>
      <c r="E19">
        <f t="shared" si="1"/>
        <v>60</v>
      </c>
      <c r="F19">
        <v>5</v>
      </c>
    </row>
    <row r="20" spans="1:6" x14ac:dyDescent="0.2">
      <c r="A20" s="1">
        <v>45833</v>
      </c>
      <c r="B20">
        <v>6</v>
      </c>
      <c r="C20">
        <f t="shared" si="0"/>
        <v>2</v>
      </c>
      <c r="D20">
        <v>60</v>
      </c>
      <c r="E20">
        <f t="shared" si="1"/>
        <v>40</v>
      </c>
      <c r="F20">
        <v>2</v>
      </c>
    </row>
    <row r="21" spans="1:6" x14ac:dyDescent="0.2">
      <c r="A21" s="1">
        <v>45833</v>
      </c>
      <c r="B21">
        <v>6</v>
      </c>
      <c r="C21">
        <f t="shared" si="0"/>
        <v>3</v>
      </c>
      <c r="D21">
        <v>30</v>
      </c>
      <c r="E21">
        <f t="shared" si="1"/>
        <v>70</v>
      </c>
      <c r="F21">
        <v>3</v>
      </c>
    </row>
    <row r="22" spans="1:6" x14ac:dyDescent="0.2">
      <c r="A22" s="1">
        <v>45833</v>
      </c>
      <c r="B22">
        <v>6</v>
      </c>
      <c r="C22">
        <f t="shared" si="0"/>
        <v>1</v>
      </c>
      <c r="D22">
        <v>10</v>
      </c>
      <c r="E22">
        <f t="shared" si="1"/>
        <v>90</v>
      </c>
      <c r="F22">
        <v>1</v>
      </c>
    </row>
    <row r="23" spans="1:6" x14ac:dyDescent="0.2">
      <c r="A23" s="1">
        <v>45833</v>
      </c>
      <c r="B23">
        <v>7</v>
      </c>
      <c r="C23">
        <f t="shared" si="0"/>
        <v>2</v>
      </c>
      <c r="D23">
        <v>20</v>
      </c>
      <c r="E23">
        <f t="shared" si="1"/>
        <v>80</v>
      </c>
      <c r="F23">
        <v>3</v>
      </c>
    </row>
    <row r="24" spans="1:6" x14ac:dyDescent="0.2">
      <c r="A24" s="1">
        <v>45833</v>
      </c>
      <c r="B24">
        <v>7</v>
      </c>
      <c r="C24">
        <f t="shared" si="0"/>
        <v>3</v>
      </c>
      <c r="D24">
        <v>25</v>
      </c>
      <c r="E24">
        <f t="shared" si="1"/>
        <v>75</v>
      </c>
      <c r="F24">
        <v>3</v>
      </c>
    </row>
    <row r="25" spans="1:6" x14ac:dyDescent="0.2">
      <c r="A25" s="1">
        <v>45833</v>
      </c>
      <c r="B25">
        <v>7</v>
      </c>
      <c r="C25">
        <f t="shared" si="0"/>
        <v>1</v>
      </c>
      <c r="D25">
        <v>15</v>
      </c>
      <c r="E25">
        <f t="shared" si="1"/>
        <v>85</v>
      </c>
      <c r="F25">
        <v>3</v>
      </c>
    </row>
    <row r="26" spans="1:6" x14ac:dyDescent="0.2">
      <c r="A26" s="1">
        <v>45833</v>
      </c>
      <c r="B26">
        <v>8</v>
      </c>
      <c r="C26">
        <f t="shared" si="0"/>
        <v>2</v>
      </c>
      <c r="D26">
        <v>80</v>
      </c>
      <c r="E26">
        <f t="shared" si="1"/>
        <v>20</v>
      </c>
      <c r="F26">
        <v>5</v>
      </c>
    </row>
    <row r="27" spans="1:6" x14ac:dyDescent="0.2">
      <c r="A27" s="1">
        <v>45833</v>
      </c>
      <c r="B27">
        <v>8</v>
      </c>
      <c r="C27">
        <f t="shared" si="0"/>
        <v>3</v>
      </c>
      <c r="D27">
        <v>10</v>
      </c>
      <c r="E27">
        <f t="shared" si="1"/>
        <v>90</v>
      </c>
      <c r="F27">
        <v>2</v>
      </c>
    </row>
    <row r="28" spans="1:6" x14ac:dyDescent="0.2">
      <c r="A28" s="1">
        <v>45833</v>
      </c>
      <c r="B28">
        <v>8</v>
      </c>
      <c r="C28">
        <f t="shared" si="0"/>
        <v>1</v>
      </c>
      <c r="D28">
        <v>10</v>
      </c>
      <c r="E28">
        <f t="shared" si="1"/>
        <v>90</v>
      </c>
      <c r="F28">
        <v>2</v>
      </c>
    </row>
    <row r="29" spans="1:6" x14ac:dyDescent="0.2">
      <c r="A29" s="1">
        <v>45834</v>
      </c>
      <c r="B29">
        <v>9</v>
      </c>
      <c r="C29">
        <f t="shared" si="0"/>
        <v>2</v>
      </c>
      <c r="D29">
        <v>40</v>
      </c>
      <c r="E29">
        <f t="shared" si="1"/>
        <v>60</v>
      </c>
      <c r="F29">
        <v>2</v>
      </c>
    </row>
    <row r="30" spans="1:6" x14ac:dyDescent="0.2">
      <c r="A30" s="1">
        <v>45834</v>
      </c>
      <c r="B30">
        <v>9</v>
      </c>
      <c r="C30">
        <f t="shared" si="0"/>
        <v>3</v>
      </c>
      <c r="D30">
        <v>20</v>
      </c>
      <c r="E30">
        <f t="shared" si="1"/>
        <v>80</v>
      </c>
      <c r="F30">
        <v>1</v>
      </c>
    </row>
    <row r="31" spans="1:6" x14ac:dyDescent="0.2">
      <c r="A31" s="1">
        <v>45834</v>
      </c>
      <c r="B31">
        <v>9</v>
      </c>
      <c r="C31">
        <f t="shared" si="0"/>
        <v>1</v>
      </c>
      <c r="D31">
        <v>20</v>
      </c>
      <c r="E31">
        <f t="shared" si="1"/>
        <v>80</v>
      </c>
      <c r="F31">
        <v>2</v>
      </c>
    </row>
    <row r="32" spans="1:6" x14ac:dyDescent="0.2">
      <c r="A32" s="1">
        <v>45835</v>
      </c>
      <c r="B32">
        <v>10</v>
      </c>
      <c r="C32">
        <f t="shared" si="0"/>
        <v>2</v>
      </c>
      <c r="D32">
        <v>40</v>
      </c>
      <c r="E32">
        <f t="shared" si="1"/>
        <v>60</v>
      </c>
      <c r="F32">
        <v>4</v>
      </c>
    </row>
    <row r="33" spans="1:6" x14ac:dyDescent="0.2">
      <c r="A33" s="1">
        <v>45835</v>
      </c>
      <c r="B33">
        <v>10</v>
      </c>
      <c r="C33">
        <f t="shared" si="0"/>
        <v>3</v>
      </c>
      <c r="D33">
        <v>50</v>
      </c>
      <c r="E33">
        <f t="shared" si="1"/>
        <v>50</v>
      </c>
      <c r="F33">
        <v>3</v>
      </c>
    </row>
    <row r="34" spans="1:6" x14ac:dyDescent="0.2">
      <c r="A34" s="1">
        <v>45835</v>
      </c>
      <c r="B34">
        <v>10</v>
      </c>
      <c r="C34">
        <f t="shared" si="0"/>
        <v>1</v>
      </c>
      <c r="D34">
        <v>60</v>
      </c>
      <c r="E34">
        <f t="shared" si="1"/>
        <v>40</v>
      </c>
      <c r="F34">
        <v>4</v>
      </c>
    </row>
    <row r="35" spans="1:6" x14ac:dyDescent="0.2">
      <c r="A35" s="1">
        <v>45835</v>
      </c>
      <c r="B35">
        <v>11</v>
      </c>
      <c r="C35">
        <f t="shared" si="0"/>
        <v>2</v>
      </c>
      <c r="D35">
        <v>70</v>
      </c>
      <c r="E35">
        <f t="shared" si="1"/>
        <v>30</v>
      </c>
      <c r="F35">
        <v>6</v>
      </c>
    </row>
    <row r="36" spans="1:6" x14ac:dyDescent="0.2">
      <c r="A36" s="1">
        <v>45835</v>
      </c>
      <c r="B36">
        <v>11</v>
      </c>
      <c r="C36">
        <f t="shared" si="0"/>
        <v>3</v>
      </c>
      <c r="D36">
        <v>60</v>
      </c>
      <c r="E36">
        <f t="shared" si="1"/>
        <v>40</v>
      </c>
      <c r="F36">
        <v>2</v>
      </c>
    </row>
    <row r="37" spans="1:6" x14ac:dyDescent="0.2">
      <c r="A37" s="1">
        <v>45835</v>
      </c>
      <c r="B37">
        <v>11</v>
      </c>
      <c r="C37">
        <f t="shared" si="0"/>
        <v>1</v>
      </c>
      <c r="D37">
        <v>80</v>
      </c>
      <c r="E37">
        <f t="shared" si="1"/>
        <v>20</v>
      </c>
      <c r="F37">
        <v>4</v>
      </c>
    </row>
    <row r="38" spans="1:6" x14ac:dyDescent="0.2">
      <c r="A38" s="1">
        <v>45835</v>
      </c>
      <c r="B38">
        <v>12</v>
      </c>
      <c r="C38">
        <f t="shared" si="0"/>
        <v>2</v>
      </c>
      <c r="D38">
        <v>10</v>
      </c>
      <c r="E38">
        <f t="shared" si="1"/>
        <v>90</v>
      </c>
      <c r="F38">
        <v>1</v>
      </c>
    </row>
    <row r="39" spans="1:6" x14ac:dyDescent="0.2">
      <c r="A39" s="1">
        <v>45835</v>
      </c>
      <c r="B39">
        <v>12</v>
      </c>
      <c r="C39">
        <f t="shared" si="0"/>
        <v>3</v>
      </c>
      <c r="D39">
        <v>20</v>
      </c>
      <c r="E39">
        <f t="shared" si="1"/>
        <v>80</v>
      </c>
      <c r="F39">
        <v>3</v>
      </c>
    </row>
    <row r="40" spans="1:6" x14ac:dyDescent="0.2">
      <c r="A40" s="1">
        <v>45835</v>
      </c>
      <c r="B40">
        <v>12</v>
      </c>
      <c r="C40">
        <f t="shared" si="0"/>
        <v>1</v>
      </c>
      <c r="D40">
        <v>50</v>
      </c>
      <c r="E40">
        <f t="shared" si="1"/>
        <v>50</v>
      </c>
      <c r="F40">
        <v>4</v>
      </c>
    </row>
    <row r="41" spans="1:6" x14ac:dyDescent="0.2">
      <c r="A41" s="1">
        <v>45835</v>
      </c>
      <c r="B41">
        <v>13</v>
      </c>
      <c r="C41">
        <f t="shared" si="0"/>
        <v>2</v>
      </c>
      <c r="D41">
        <v>20</v>
      </c>
      <c r="E41">
        <f t="shared" si="1"/>
        <v>80</v>
      </c>
      <c r="F41">
        <v>2</v>
      </c>
    </row>
    <row r="42" spans="1:6" x14ac:dyDescent="0.2">
      <c r="A42" s="1">
        <v>45835</v>
      </c>
      <c r="B42">
        <v>13</v>
      </c>
      <c r="C42">
        <f t="shared" si="0"/>
        <v>3</v>
      </c>
      <c r="D42">
        <v>30</v>
      </c>
      <c r="E42">
        <f t="shared" si="1"/>
        <v>70</v>
      </c>
      <c r="F42">
        <v>2</v>
      </c>
    </row>
    <row r="43" spans="1:6" x14ac:dyDescent="0.2">
      <c r="A43" s="1">
        <v>45835</v>
      </c>
      <c r="B43">
        <v>13</v>
      </c>
      <c r="C43">
        <f t="shared" si="0"/>
        <v>1</v>
      </c>
      <c r="D43">
        <v>40</v>
      </c>
      <c r="E43">
        <f t="shared" si="1"/>
        <v>60</v>
      </c>
      <c r="F43">
        <v>3</v>
      </c>
    </row>
    <row r="44" spans="1:6" x14ac:dyDescent="0.2">
      <c r="A44" s="1">
        <v>45835</v>
      </c>
      <c r="B44">
        <v>14</v>
      </c>
      <c r="C44">
        <f t="shared" si="0"/>
        <v>2</v>
      </c>
      <c r="D44">
        <v>80</v>
      </c>
      <c r="E44">
        <f t="shared" si="1"/>
        <v>20</v>
      </c>
      <c r="F44">
        <v>6</v>
      </c>
    </row>
    <row r="45" spans="1:6" x14ac:dyDescent="0.2">
      <c r="A45" s="1">
        <v>45835</v>
      </c>
      <c r="B45">
        <v>14</v>
      </c>
      <c r="C45">
        <f t="shared" si="0"/>
        <v>3</v>
      </c>
      <c r="D45">
        <v>50</v>
      </c>
      <c r="E45">
        <f t="shared" si="1"/>
        <v>50</v>
      </c>
      <c r="F45">
        <v>5</v>
      </c>
    </row>
    <row r="46" spans="1:6" x14ac:dyDescent="0.2">
      <c r="A46" s="1">
        <v>45835</v>
      </c>
      <c r="B46">
        <v>14</v>
      </c>
      <c r="C46">
        <f t="shared" si="0"/>
        <v>1</v>
      </c>
      <c r="D46">
        <v>50</v>
      </c>
      <c r="E46">
        <f t="shared" si="1"/>
        <v>50</v>
      </c>
      <c r="F46">
        <v>5</v>
      </c>
    </row>
    <row r="47" spans="1:6" x14ac:dyDescent="0.2">
      <c r="A47" s="1">
        <v>45835</v>
      </c>
      <c r="B47">
        <v>15</v>
      </c>
      <c r="C47">
        <f t="shared" si="0"/>
        <v>2</v>
      </c>
      <c r="D47">
        <v>25</v>
      </c>
      <c r="E47">
        <f t="shared" si="1"/>
        <v>75</v>
      </c>
      <c r="F47">
        <v>3</v>
      </c>
    </row>
    <row r="48" spans="1:6" x14ac:dyDescent="0.2">
      <c r="A48" s="1">
        <v>45835</v>
      </c>
      <c r="B48">
        <v>15</v>
      </c>
      <c r="C48">
        <f t="shared" si="0"/>
        <v>3</v>
      </c>
      <c r="D48">
        <v>70</v>
      </c>
      <c r="E48">
        <f t="shared" si="1"/>
        <v>30</v>
      </c>
      <c r="F48">
        <v>4</v>
      </c>
    </row>
    <row r="49" spans="1:6" x14ac:dyDescent="0.2">
      <c r="A49" s="1">
        <v>45835</v>
      </c>
      <c r="B49">
        <v>15</v>
      </c>
      <c r="C49">
        <f t="shared" si="0"/>
        <v>1</v>
      </c>
      <c r="D49">
        <v>60</v>
      </c>
      <c r="E49">
        <f t="shared" si="1"/>
        <v>40</v>
      </c>
      <c r="F49">
        <v>4</v>
      </c>
    </row>
    <row r="50" spans="1:6" x14ac:dyDescent="0.2">
      <c r="A50" s="1">
        <v>45835</v>
      </c>
      <c r="B50">
        <v>16</v>
      </c>
      <c r="C50">
        <f t="shared" si="0"/>
        <v>2</v>
      </c>
      <c r="D50">
        <v>15</v>
      </c>
      <c r="E50">
        <f t="shared" si="1"/>
        <v>85</v>
      </c>
      <c r="F50">
        <v>3</v>
      </c>
    </row>
    <row r="51" spans="1:6" x14ac:dyDescent="0.2">
      <c r="A51" s="1">
        <v>45835</v>
      </c>
      <c r="B51">
        <v>16</v>
      </c>
      <c r="C51">
        <f t="shared" si="0"/>
        <v>3</v>
      </c>
      <c r="D51">
        <v>100</v>
      </c>
      <c r="E51">
        <f t="shared" si="1"/>
        <v>0</v>
      </c>
      <c r="F51">
        <v>6</v>
      </c>
    </row>
    <row r="52" spans="1:6" x14ac:dyDescent="0.2">
      <c r="A52" s="1">
        <v>45835</v>
      </c>
      <c r="B52">
        <v>16</v>
      </c>
      <c r="C52">
        <f t="shared" si="0"/>
        <v>1</v>
      </c>
      <c r="D52">
        <v>90</v>
      </c>
      <c r="E52">
        <f t="shared" si="1"/>
        <v>10</v>
      </c>
      <c r="F52">
        <v>6</v>
      </c>
    </row>
    <row r="53" spans="1:6" x14ac:dyDescent="0.2">
      <c r="A53" s="1">
        <v>45835</v>
      </c>
      <c r="B53">
        <v>17</v>
      </c>
      <c r="C53">
        <f t="shared" si="0"/>
        <v>2</v>
      </c>
      <c r="D53">
        <v>100</v>
      </c>
      <c r="E53">
        <f t="shared" si="1"/>
        <v>0</v>
      </c>
      <c r="F53">
        <v>4</v>
      </c>
    </row>
    <row r="54" spans="1:6" x14ac:dyDescent="0.2">
      <c r="A54" s="1">
        <v>45835</v>
      </c>
      <c r="B54">
        <v>17</v>
      </c>
      <c r="C54">
        <f t="shared" si="0"/>
        <v>3</v>
      </c>
      <c r="D54">
        <v>10</v>
      </c>
      <c r="E54">
        <f t="shared" si="1"/>
        <v>90</v>
      </c>
      <c r="F54">
        <v>1</v>
      </c>
    </row>
    <row r="55" spans="1:6" x14ac:dyDescent="0.2">
      <c r="A55" s="1">
        <v>45835</v>
      </c>
      <c r="B55">
        <v>17</v>
      </c>
      <c r="C55">
        <f t="shared" si="0"/>
        <v>1</v>
      </c>
      <c r="D55">
        <v>90</v>
      </c>
      <c r="E55">
        <f t="shared" si="1"/>
        <v>10</v>
      </c>
      <c r="F55">
        <v>4</v>
      </c>
    </row>
    <row r="56" spans="1:6" x14ac:dyDescent="0.2">
      <c r="A56" s="1">
        <v>45835</v>
      </c>
      <c r="B56">
        <v>18</v>
      </c>
      <c r="C56">
        <f t="shared" si="0"/>
        <v>2</v>
      </c>
      <c r="D56">
        <v>60</v>
      </c>
      <c r="E56">
        <f t="shared" si="1"/>
        <v>40</v>
      </c>
      <c r="F56">
        <v>4</v>
      </c>
    </row>
    <row r="57" spans="1:6" x14ac:dyDescent="0.2">
      <c r="A57" s="1">
        <v>45835</v>
      </c>
      <c r="B57">
        <v>18</v>
      </c>
      <c r="C57">
        <f t="shared" si="0"/>
        <v>3</v>
      </c>
      <c r="D57">
        <v>90</v>
      </c>
      <c r="E57">
        <f t="shared" si="1"/>
        <v>10</v>
      </c>
      <c r="F57">
        <v>3</v>
      </c>
    </row>
    <row r="58" spans="1:6" x14ac:dyDescent="0.2">
      <c r="A58" s="1">
        <v>45835</v>
      </c>
      <c r="B58">
        <v>18</v>
      </c>
      <c r="C58">
        <f t="shared" si="0"/>
        <v>1</v>
      </c>
      <c r="D58">
        <v>100</v>
      </c>
      <c r="E58">
        <f t="shared" si="1"/>
        <v>0</v>
      </c>
      <c r="F58">
        <v>6</v>
      </c>
    </row>
    <row r="59" spans="1:6" x14ac:dyDescent="0.2">
      <c r="A59" s="1">
        <v>45835</v>
      </c>
      <c r="B59">
        <v>19</v>
      </c>
      <c r="C59">
        <f t="shared" si="0"/>
        <v>2</v>
      </c>
      <c r="D59">
        <v>70</v>
      </c>
      <c r="E59">
        <f t="shared" si="1"/>
        <v>30</v>
      </c>
      <c r="F59">
        <v>3</v>
      </c>
    </row>
    <row r="60" spans="1:6" x14ac:dyDescent="0.2">
      <c r="A60" s="1">
        <v>45835</v>
      </c>
      <c r="B60">
        <v>19</v>
      </c>
      <c r="C60">
        <f t="shared" si="0"/>
        <v>3</v>
      </c>
      <c r="D60">
        <v>20</v>
      </c>
      <c r="E60">
        <f t="shared" si="1"/>
        <v>80</v>
      </c>
      <c r="F60">
        <v>2</v>
      </c>
    </row>
    <row r="61" spans="1:6" x14ac:dyDescent="0.2">
      <c r="A61" s="1">
        <v>45835</v>
      </c>
      <c r="B61">
        <v>19</v>
      </c>
      <c r="C61">
        <f t="shared" si="0"/>
        <v>1</v>
      </c>
      <c r="D61">
        <v>40</v>
      </c>
      <c r="E61">
        <f t="shared" si="1"/>
        <v>60</v>
      </c>
      <c r="F61">
        <v>1</v>
      </c>
    </row>
    <row r="62" spans="1:6" x14ac:dyDescent="0.2">
      <c r="A62" s="1">
        <v>45835</v>
      </c>
      <c r="B62">
        <v>20</v>
      </c>
      <c r="C62">
        <f t="shared" si="0"/>
        <v>2</v>
      </c>
      <c r="D62">
        <v>100</v>
      </c>
      <c r="E62">
        <f t="shared" si="1"/>
        <v>0</v>
      </c>
      <c r="F62">
        <v>8</v>
      </c>
    </row>
    <row r="63" spans="1:6" x14ac:dyDescent="0.2">
      <c r="A63" s="1">
        <v>45835</v>
      </c>
      <c r="B63">
        <v>20</v>
      </c>
      <c r="C63">
        <f t="shared" si="0"/>
        <v>3</v>
      </c>
      <c r="D63">
        <v>70</v>
      </c>
      <c r="E63">
        <f t="shared" si="1"/>
        <v>30</v>
      </c>
      <c r="F63">
        <v>5</v>
      </c>
    </row>
    <row r="64" spans="1:6" x14ac:dyDescent="0.2">
      <c r="A64" s="1">
        <v>45835</v>
      </c>
      <c r="B64">
        <v>20</v>
      </c>
      <c r="C64">
        <f t="shared" si="0"/>
        <v>1</v>
      </c>
      <c r="D64">
        <v>100</v>
      </c>
      <c r="E64">
        <f t="shared" si="1"/>
        <v>0</v>
      </c>
      <c r="F64">
        <v>8</v>
      </c>
    </row>
    <row r="65" spans="1:6" x14ac:dyDescent="0.2">
      <c r="A65" s="1">
        <v>45835</v>
      </c>
      <c r="B65">
        <v>21</v>
      </c>
      <c r="C65">
        <f t="shared" si="0"/>
        <v>2</v>
      </c>
      <c r="D65">
        <v>40</v>
      </c>
      <c r="E65">
        <f t="shared" si="1"/>
        <v>60</v>
      </c>
      <c r="F65">
        <v>3</v>
      </c>
    </row>
    <row r="66" spans="1:6" x14ac:dyDescent="0.2">
      <c r="A66" s="1">
        <v>45835</v>
      </c>
      <c r="B66">
        <v>21</v>
      </c>
      <c r="C66">
        <f t="shared" si="0"/>
        <v>3</v>
      </c>
      <c r="D66">
        <v>70</v>
      </c>
      <c r="E66">
        <f t="shared" si="1"/>
        <v>30</v>
      </c>
      <c r="F66">
        <v>6</v>
      </c>
    </row>
    <row r="67" spans="1:6" x14ac:dyDescent="0.2">
      <c r="A67" s="1">
        <v>45835</v>
      </c>
      <c r="B67">
        <v>21</v>
      </c>
      <c r="C67">
        <f t="shared" si="0"/>
        <v>1</v>
      </c>
      <c r="D67">
        <v>90</v>
      </c>
      <c r="E67">
        <f t="shared" si="1"/>
        <v>10</v>
      </c>
      <c r="F67">
        <v>5</v>
      </c>
    </row>
    <row r="68" spans="1:6" x14ac:dyDescent="0.2">
      <c r="A68" s="1">
        <v>45835</v>
      </c>
      <c r="B68">
        <v>22</v>
      </c>
      <c r="C68">
        <f t="shared" si="0"/>
        <v>2</v>
      </c>
      <c r="D68">
        <v>80</v>
      </c>
      <c r="E68">
        <f t="shared" si="1"/>
        <v>20</v>
      </c>
      <c r="F68">
        <v>2</v>
      </c>
    </row>
    <row r="69" spans="1:6" x14ac:dyDescent="0.2">
      <c r="A69" s="1">
        <v>45835</v>
      </c>
      <c r="B69">
        <v>22</v>
      </c>
      <c r="C69">
        <f t="shared" si="0"/>
        <v>3</v>
      </c>
      <c r="D69">
        <v>100</v>
      </c>
      <c r="E69">
        <f t="shared" si="1"/>
        <v>0</v>
      </c>
      <c r="F69">
        <v>3</v>
      </c>
    </row>
    <row r="70" spans="1:6" x14ac:dyDescent="0.2">
      <c r="A70" s="1">
        <v>45835</v>
      </c>
      <c r="B70">
        <v>22</v>
      </c>
      <c r="C70">
        <f t="shared" ref="C70:C133" si="2">MOD(ROW()-1,3)+1</f>
        <v>1</v>
      </c>
      <c r="D70">
        <v>40</v>
      </c>
      <c r="E70">
        <f t="shared" ref="E70:E133" si="3">100-D70</f>
        <v>60</v>
      </c>
      <c r="F70">
        <v>3</v>
      </c>
    </row>
    <row r="71" spans="1:6" x14ac:dyDescent="0.2">
      <c r="A71" s="1">
        <v>45835</v>
      </c>
      <c r="B71">
        <v>23</v>
      </c>
      <c r="C71">
        <f t="shared" si="2"/>
        <v>2</v>
      </c>
      <c r="D71">
        <v>80</v>
      </c>
      <c r="E71">
        <f t="shared" si="3"/>
        <v>20</v>
      </c>
      <c r="F71">
        <v>7</v>
      </c>
    </row>
    <row r="72" spans="1:6" x14ac:dyDescent="0.2">
      <c r="A72" s="1">
        <v>45835</v>
      </c>
      <c r="B72">
        <v>23</v>
      </c>
      <c r="C72">
        <f t="shared" si="2"/>
        <v>3</v>
      </c>
      <c r="D72">
        <v>80</v>
      </c>
      <c r="E72">
        <f t="shared" si="3"/>
        <v>20</v>
      </c>
      <c r="F72">
        <v>5</v>
      </c>
    </row>
    <row r="73" spans="1:6" x14ac:dyDescent="0.2">
      <c r="A73" s="1">
        <v>45835</v>
      </c>
      <c r="B73">
        <v>23</v>
      </c>
      <c r="C73">
        <f t="shared" si="2"/>
        <v>1</v>
      </c>
      <c r="D73">
        <v>40</v>
      </c>
      <c r="E73">
        <f t="shared" si="3"/>
        <v>60</v>
      </c>
      <c r="F73">
        <v>4</v>
      </c>
    </row>
    <row r="74" spans="1:6" x14ac:dyDescent="0.2">
      <c r="A74" s="1">
        <v>45835</v>
      </c>
      <c r="B74">
        <v>24</v>
      </c>
      <c r="C74">
        <f t="shared" si="2"/>
        <v>2</v>
      </c>
      <c r="D74">
        <v>30</v>
      </c>
      <c r="E74">
        <f t="shared" si="3"/>
        <v>70</v>
      </c>
      <c r="F74">
        <v>5</v>
      </c>
    </row>
    <row r="75" spans="1:6" x14ac:dyDescent="0.2">
      <c r="A75" s="1">
        <v>45835</v>
      </c>
      <c r="B75">
        <v>24</v>
      </c>
      <c r="C75">
        <f t="shared" si="2"/>
        <v>3</v>
      </c>
      <c r="D75">
        <v>90</v>
      </c>
      <c r="E75">
        <f t="shared" si="3"/>
        <v>10</v>
      </c>
      <c r="F75">
        <v>5</v>
      </c>
    </row>
    <row r="76" spans="1:6" x14ac:dyDescent="0.2">
      <c r="A76" s="1">
        <v>45835</v>
      </c>
      <c r="B76">
        <v>24</v>
      </c>
      <c r="C76">
        <f t="shared" si="2"/>
        <v>1</v>
      </c>
      <c r="D76">
        <v>90</v>
      </c>
      <c r="E76">
        <f t="shared" si="3"/>
        <v>10</v>
      </c>
      <c r="F76">
        <v>6</v>
      </c>
    </row>
    <row r="77" spans="1:6" x14ac:dyDescent="0.2">
      <c r="A77" s="1">
        <v>45835</v>
      </c>
      <c r="B77">
        <v>25</v>
      </c>
      <c r="C77">
        <f t="shared" si="2"/>
        <v>2</v>
      </c>
      <c r="D77">
        <v>40</v>
      </c>
      <c r="E77">
        <f t="shared" si="3"/>
        <v>60</v>
      </c>
      <c r="F77">
        <v>4</v>
      </c>
    </row>
    <row r="78" spans="1:6" x14ac:dyDescent="0.2">
      <c r="A78" s="1">
        <v>45835</v>
      </c>
      <c r="B78">
        <v>25</v>
      </c>
      <c r="C78">
        <f t="shared" si="2"/>
        <v>3</v>
      </c>
      <c r="D78">
        <v>60</v>
      </c>
      <c r="E78">
        <f t="shared" si="3"/>
        <v>40</v>
      </c>
      <c r="F78">
        <v>4</v>
      </c>
    </row>
    <row r="79" spans="1:6" x14ac:dyDescent="0.2">
      <c r="A79" s="1">
        <v>45835</v>
      </c>
      <c r="B79">
        <v>25</v>
      </c>
      <c r="C79">
        <f t="shared" si="2"/>
        <v>1</v>
      </c>
      <c r="D79">
        <v>90</v>
      </c>
      <c r="E79">
        <f t="shared" si="3"/>
        <v>10</v>
      </c>
      <c r="F79">
        <v>5</v>
      </c>
    </row>
    <row r="80" spans="1:6" x14ac:dyDescent="0.2">
      <c r="A80" s="1">
        <v>45835</v>
      </c>
      <c r="B80">
        <v>26</v>
      </c>
      <c r="C80">
        <f t="shared" si="2"/>
        <v>2</v>
      </c>
      <c r="D80">
        <v>90</v>
      </c>
      <c r="E80">
        <f t="shared" si="3"/>
        <v>10</v>
      </c>
      <c r="F80">
        <v>4</v>
      </c>
    </row>
    <row r="81" spans="1:6" x14ac:dyDescent="0.2">
      <c r="A81" s="1">
        <v>45835</v>
      </c>
      <c r="B81">
        <v>26</v>
      </c>
      <c r="C81">
        <f t="shared" si="2"/>
        <v>3</v>
      </c>
      <c r="D81">
        <v>60</v>
      </c>
      <c r="E81">
        <f t="shared" si="3"/>
        <v>40</v>
      </c>
      <c r="F81">
        <v>4</v>
      </c>
    </row>
    <row r="82" spans="1:6" x14ac:dyDescent="0.2">
      <c r="A82" s="1">
        <v>45835</v>
      </c>
      <c r="B82">
        <v>26</v>
      </c>
      <c r="C82">
        <f t="shared" si="2"/>
        <v>1</v>
      </c>
      <c r="D82">
        <v>50</v>
      </c>
      <c r="E82">
        <f t="shared" si="3"/>
        <v>50</v>
      </c>
      <c r="F82">
        <v>4</v>
      </c>
    </row>
    <row r="83" spans="1:6" x14ac:dyDescent="0.2">
      <c r="A83" s="1">
        <v>45835</v>
      </c>
      <c r="B83">
        <v>27</v>
      </c>
      <c r="C83">
        <f t="shared" si="2"/>
        <v>2</v>
      </c>
      <c r="D83">
        <v>50</v>
      </c>
      <c r="E83">
        <f t="shared" si="3"/>
        <v>50</v>
      </c>
      <c r="F83">
        <v>3</v>
      </c>
    </row>
    <row r="84" spans="1:6" x14ac:dyDescent="0.2">
      <c r="A84" s="1">
        <v>45835</v>
      </c>
      <c r="B84">
        <v>27</v>
      </c>
      <c r="C84">
        <f t="shared" si="2"/>
        <v>3</v>
      </c>
      <c r="D84">
        <v>40</v>
      </c>
      <c r="E84">
        <f t="shared" si="3"/>
        <v>60</v>
      </c>
      <c r="F84">
        <v>5</v>
      </c>
    </row>
    <row r="85" spans="1:6" x14ac:dyDescent="0.2">
      <c r="A85" s="1">
        <v>45835</v>
      </c>
      <c r="B85">
        <v>27</v>
      </c>
      <c r="C85">
        <f t="shared" si="2"/>
        <v>1</v>
      </c>
      <c r="D85">
        <v>50</v>
      </c>
      <c r="E85">
        <f t="shared" si="3"/>
        <v>50</v>
      </c>
      <c r="F85">
        <v>6</v>
      </c>
    </row>
    <row r="86" spans="1:6" x14ac:dyDescent="0.2">
      <c r="A86" s="1">
        <v>45835</v>
      </c>
      <c r="B86">
        <v>28</v>
      </c>
      <c r="C86">
        <f t="shared" si="2"/>
        <v>2</v>
      </c>
      <c r="D86">
        <v>100</v>
      </c>
      <c r="E86">
        <f t="shared" si="3"/>
        <v>0</v>
      </c>
      <c r="F86">
        <v>4</v>
      </c>
    </row>
    <row r="87" spans="1:6" x14ac:dyDescent="0.2">
      <c r="A87" s="1">
        <v>45835</v>
      </c>
      <c r="B87">
        <v>28</v>
      </c>
      <c r="C87">
        <f t="shared" si="2"/>
        <v>3</v>
      </c>
      <c r="D87">
        <v>80</v>
      </c>
      <c r="E87">
        <f t="shared" si="3"/>
        <v>20</v>
      </c>
      <c r="F87">
        <v>6</v>
      </c>
    </row>
    <row r="88" spans="1:6" x14ac:dyDescent="0.2">
      <c r="A88" s="1">
        <v>45835</v>
      </c>
      <c r="B88">
        <v>28</v>
      </c>
      <c r="C88">
        <f t="shared" si="2"/>
        <v>1</v>
      </c>
      <c r="D88">
        <v>80</v>
      </c>
      <c r="E88">
        <f t="shared" si="3"/>
        <v>20</v>
      </c>
      <c r="F88">
        <v>5</v>
      </c>
    </row>
    <row r="89" spans="1:6" x14ac:dyDescent="0.2">
      <c r="A89" s="1">
        <v>45835</v>
      </c>
      <c r="B89">
        <v>29</v>
      </c>
      <c r="C89">
        <f t="shared" si="2"/>
        <v>2</v>
      </c>
      <c r="D89">
        <v>80</v>
      </c>
      <c r="E89">
        <f t="shared" si="3"/>
        <v>20</v>
      </c>
      <c r="F89">
        <v>3</v>
      </c>
    </row>
    <row r="90" spans="1:6" x14ac:dyDescent="0.2">
      <c r="A90" s="1">
        <v>45835</v>
      </c>
      <c r="B90">
        <v>29</v>
      </c>
      <c r="C90">
        <f t="shared" si="2"/>
        <v>3</v>
      </c>
      <c r="D90">
        <v>100</v>
      </c>
      <c r="E90">
        <f t="shared" si="3"/>
        <v>0</v>
      </c>
      <c r="F90">
        <v>10</v>
      </c>
    </row>
    <row r="91" spans="1:6" x14ac:dyDescent="0.2">
      <c r="A91" s="1">
        <v>45835</v>
      </c>
      <c r="B91">
        <v>29</v>
      </c>
      <c r="C91">
        <f t="shared" si="2"/>
        <v>1</v>
      </c>
      <c r="D91">
        <v>40</v>
      </c>
      <c r="E91">
        <f t="shared" si="3"/>
        <v>60</v>
      </c>
      <c r="F91">
        <v>5</v>
      </c>
    </row>
    <row r="92" spans="1:6" x14ac:dyDescent="0.2">
      <c r="A92" s="1">
        <v>45835</v>
      </c>
      <c r="B92">
        <v>30</v>
      </c>
      <c r="C92">
        <f t="shared" si="2"/>
        <v>2</v>
      </c>
      <c r="D92">
        <v>10</v>
      </c>
      <c r="E92">
        <f t="shared" si="3"/>
        <v>90</v>
      </c>
      <c r="F92">
        <v>4</v>
      </c>
    </row>
    <row r="93" spans="1:6" x14ac:dyDescent="0.2">
      <c r="A93" s="1">
        <v>45835</v>
      </c>
      <c r="B93">
        <v>30</v>
      </c>
      <c r="C93">
        <f t="shared" si="2"/>
        <v>3</v>
      </c>
      <c r="D93">
        <v>80</v>
      </c>
      <c r="E93">
        <f t="shared" si="3"/>
        <v>20</v>
      </c>
      <c r="F93">
        <v>4</v>
      </c>
    </row>
    <row r="94" spans="1:6" x14ac:dyDescent="0.2">
      <c r="A94" s="1">
        <v>45835</v>
      </c>
      <c r="B94">
        <v>30</v>
      </c>
      <c r="C94">
        <f t="shared" si="2"/>
        <v>1</v>
      </c>
      <c r="D94">
        <v>50</v>
      </c>
      <c r="E94">
        <f t="shared" si="3"/>
        <v>50</v>
      </c>
      <c r="F94">
        <v>4</v>
      </c>
    </row>
    <row r="95" spans="1:6" x14ac:dyDescent="0.2">
      <c r="A95" s="1">
        <v>45835</v>
      </c>
      <c r="B95">
        <v>31</v>
      </c>
      <c r="C95">
        <f t="shared" si="2"/>
        <v>2</v>
      </c>
      <c r="D95">
        <v>60</v>
      </c>
      <c r="E95">
        <f t="shared" si="3"/>
        <v>40</v>
      </c>
      <c r="F95">
        <v>7</v>
      </c>
    </row>
    <row r="96" spans="1:6" x14ac:dyDescent="0.2">
      <c r="A96" s="1">
        <v>45835</v>
      </c>
      <c r="B96">
        <v>31</v>
      </c>
      <c r="C96">
        <f t="shared" si="2"/>
        <v>3</v>
      </c>
      <c r="D96">
        <v>90</v>
      </c>
      <c r="E96">
        <f t="shared" si="3"/>
        <v>10</v>
      </c>
      <c r="F96">
        <v>4</v>
      </c>
    </row>
    <row r="97" spans="1:6" x14ac:dyDescent="0.2">
      <c r="A97" s="1">
        <v>45835</v>
      </c>
      <c r="B97">
        <v>31</v>
      </c>
      <c r="C97">
        <f t="shared" si="2"/>
        <v>1</v>
      </c>
      <c r="D97">
        <v>90</v>
      </c>
      <c r="E97">
        <f t="shared" si="3"/>
        <v>10</v>
      </c>
      <c r="F97">
        <v>5</v>
      </c>
    </row>
    <row r="98" spans="1:6" x14ac:dyDescent="0.2">
      <c r="A98" s="1">
        <v>45835</v>
      </c>
      <c r="B98">
        <v>32</v>
      </c>
      <c r="C98">
        <f t="shared" si="2"/>
        <v>2</v>
      </c>
      <c r="D98">
        <v>60</v>
      </c>
      <c r="E98">
        <f t="shared" si="3"/>
        <v>40</v>
      </c>
      <c r="F98">
        <v>4</v>
      </c>
    </row>
    <row r="99" spans="1:6" x14ac:dyDescent="0.2">
      <c r="A99" s="1">
        <v>45835</v>
      </c>
      <c r="B99">
        <v>32</v>
      </c>
      <c r="C99">
        <f t="shared" si="2"/>
        <v>3</v>
      </c>
      <c r="D99">
        <v>90</v>
      </c>
      <c r="E99">
        <f t="shared" si="3"/>
        <v>10</v>
      </c>
      <c r="F99">
        <v>4</v>
      </c>
    </row>
    <row r="100" spans="1:6" x14ac:dyDescent="0.2">
      <c r="A100" s="1">
        <v>45835</v>
      </c>
      <c r="B100">
        <v>32</v>
      </c>
      <c r="C100">
        <f t="shared" si="2"/>
        <v>1</v>
      </c>
      <c r="D100">
        <v>80</v>
      </c>
      <c r="E100">
        <f t="shared" si="3"/>
        <v>20</v>
      </c>
      <c r="F100">
        <v>2</v>
      </c>
    </row>
    <row r="101" spans="1:6" x14ac:dyDescent="0.2">
      <c r="A101" s="1">
        <v>45835</v>
      </c>
      <c r="B101">
        <v>33</v>
      </c>
      <c r="C101">
        <f t="shared" si="2"/>
        <v>2</v>
      </c>
      <c r="D101">
        <v>40</v>
      </c>
      <c r="E101">
        <f t="shared" si="3"/>
        <v>60</v>
      </c>
      <c r="F101">
        <v>1</v>
      </c>
    </row>
    <row r="102" spans="1:6" x14ac:dyDescent="0.2">
      <c r="A102" s="1">
        <v>45835</v>
      </c>
      <c r="B102">
        <v>33</v>
      </c>
      <c r="C102">
        <f t="shared" si="2"/>
        <v>3</v>
      </c>
      <c r="D102">
        <v>0</v>
      </c>
      <c r="E102">
        <f t="shared" si="3"/>
        <v>100</v>
      </c>
      <c r="F102">
        <v>0</v>
      </c>
    </row>
    <row r="103" spans="1:6" x14ac:dyDescent="0.2">
      <c r="A103" s="1">
        <v>45835</v>
      </c>
      <c r="B103">
        <v>33</v>
      </c>
      <c r="C103">
        <f t="shared" si="2"/>
        <v>1</v>
      </c>
      <c r="D103">
        <v>50</v>
      </c>
      <c r="E103">
        <f t="shared" si="3"/>
        <v>50</v>
      </c>
      <c r="F103">
        <v>4</v>
      </c>
    </row>
    <row r="104" spans="1:6" x14ac:dyDescent="0.2">
      <c r="A104" s="1">
        <v>45835</v>
      </c>
      <c r="B104">
        <v>34</v>
      </c>
      <c r="C104">
        <f t="shared" si="2"/>
        <v>2</v>
      </c>
      <c r="D104">
        <v>40</v>
      </c>
      <c r="E104">
        <f t="shared" si="3"/>
        <v>60</v>
      </c>
      <c r="F104">
        <v>5</v>
      </c>
    </row>
    <row r="105" spans="1:6" x14ac:dyDescent="0.2">
      <c r="A105" s="1">
        <v>45835</v>
      </c>
      <c r="B105">
        <v>34</v>
      </c>
      <c r="C105">
        <f t="shared" si="2"/>
        <v>3</v>
      </c>
      <c r="D105">
        <v>50</v>
      </c>
      <c r="E105">
        <f t="shared" si="3"/>
        <v>50</v>
      </c>
      <c r="F105">
        <v>5</v>
      </c>
    </row>
    <row r="106" spans="1:6" x14ac:dyDescent="0.2">
      <c r="A106" s="1">
        <v>45835</v>
      </c>
      <c r="B106">
        <v>34</v>
      </c>
      <c r="C106">
        <f t="shared" si="2"/>
        <v>1</v>
      </c>
      <c r="D106">
        <v>30</v>
      </c>
      <c r="E106">
        <f t="shared" si="3"/>
        <v>70</v>
      </c>
      <c r="F106">
        <v>3</v>
      </c>
    </row>
    <row r="107" spans="1:6" x14ac:dyDescent="0.2">
      <c r="A107" s="1">
        <v>45835</v>
      </c>
      <c r="B107">
        <v>35</v>
      </c>
      <c r="C107">
        <f t="shared" si="2"/>
        <v>2</v>
      </c>
      <c r="D107">
        <v>90</v>
      </c>
      <c r="E107">
        <f t="shared" si="3"/>
        <v>10</v>
      </c>
      <c r="F107">
        <v>10</v>
      </c>
    </row>
    <row r="108" spans="1:6" x14ac:dyDescent="0.2">
      <c r="A108" s="1">
        <v>45835</v>
      </c>
      <c r="B108">
        <v>35</v>
      </c>
      <c r="C108">
        <f t="shared" si="2"/>
        <v>3</v>
      </c>
      <c r="D108">
        <v>60</v>
      </c>
      <c r="E108">
        <f t="shared" si="3"/>
        <v>40</v>
      </c>
      <c r="F108">
        <v>4</v>
      </c>
    </row>
    <row r="109" spans="1:6" x14ac:dyDescent="0.2">
      <c r="A109" s="1">
        <v>45835</v>
      </c>
      <c r="B109">
        <v>35</v>
      </c>
      <c r="C109">
        <f t="shared" si="2"/>
        <v>1</v>
      </c>
      <c r="D109">
        <v>80</v>
      </c>
      <c r="E109">
        <f t="shared" si="3"/>
        <v>20</v>
      </c>
      <c r="F109">
        <v>4</v>
      </c>
    </row>
    <row r="110" spans="1:6" x14ac:dyDescent="0.2">
      <c r="A110" s="1">
        <v>45835</v>
      </c>
      <c r="B110">
        <v>36</v>
      </c>
      <c r="C110">
        <f t="shared" si="2"/>
        <v>2</v>
      </c>
      <c r="D110">
        <v>80</v>
      </c>
      <c r="E110">
        <f t="shared" si="3"/>
        <v>20</v>
      </c>
      <c r="F110">
        <v>7</v>
      </c>
    </row>
    <row r="111" spans="1:6" x14ac:dyDescent="0.2">
      <c r="A111" s="1">
        <v>45835</v>
      </c>
      <c r="B111">
        <v>36</v>
      </c>
      <c r="C111">
        <f t="shared" si="2"/>
        <v>3</v>
      </c>
      <c r="D111">
        <v>80</v>
      </c>
      <c r="E111">
        <f t="shared" si="3"/>
        <v>20</v>
      </c>
      <c r="F111">
        <v>7</v>
      </c>
    </row>
    <row r="112" spans="1:6" x14ac:dyDescent="0.2">
      <c r="A112" s="1">
        <v>45835</v>
      </c>
      <c r="B112">
        <v>36</v>
      </c>
      <c r="C112">
        <f t="shared" si="2"/>
        <v>1</v>
      </c>
      <c r="D112">
        <v>80</v>
      </c>
      <c r="E112">
        <f t="shared" si="3"/>
        <v>20</v>
      </c>
      <c r="F112">
        <v>4</v>
      </c>
    </row>
    <row r="113" spans="1:6" x14ac:dyDescent="0.2">
      <c r="A113" s="1">
        <v>45835</v>
      </c>
      <c r="B113">
        <v>37</v>
      </c>
      <c r="C113">
        <f t="shared" si="2"/>
        <v>2</v>
      </c>
      <c r="D113">
        <v>20</v>
      </c>
      <c r="E113">
        <f t="shared" si="3"/>
        <v>80</v>
      </c>
      <c r="F113">
        <v>3</v>
      </c>
    </row>
    <row r="114" spans="1:6" x14ac:dyDescent="0.2">
      <c r="A114" s="1">
        <v>45835</v>
      </c>
      <c r="B114">
        <v>37</v>
      </c>
      <c r="C114">
        <f t="shared" si="2"/>
        <v>3</v>
      </c>
      <c r="D114">
        <v>45</v>
      </c>
      <c r="E114">
        <f t="shared" si="3"/>
        <v>55</v>
      </c>
      <c r="F114">
        <v>4</v>
      </c>
    </row>
    <row r="115" spans="1:6" x14ac:dyDescent="0.2">
      <c r="A115" s="1">
        <v>45835</v>
      </c>
      <c r="B115">
        <v>37</v>
      </c>
      <c r="C115">
        <f t="shared" si="2"/>
        <v>1</v>
      </c>
      <c r="D115">
        <v>0</v>
      </c>
      <c r="E115">
        <f t="shared" si="3"/>
        <v>100</v>
      </c>
      <c r="F115">
        <v>0</v>
      </c>
    </row>
    <row r="116" spans="1:6" x14ac:dyDescent="0.2">
      <c r="A116" s="1">
        <v>45835</v>
      </c>
      <c r="B116">
        <v>38</v>
      </c>
      <c r="C116">
        <f t="shared" si="2"/>
        <v>2</v>
      </c>
      <c r="D116">
        <v>75</v>
      </c>
      <c r="E116">
        <f t="shared" si="3"/>
        <v>25</v>
      </c>
      <c r="F116">
        <v>5</v>
      </c>
    </row>
    <row r="117" spans="1:6" x14ac:dyDescent="0.2">
      <c r="A117" s="1">
        <v>45835</v>
      </c>
      <c r="B117">
        <v>38</v>
      </c>
      <c r="C117">
        <f t="shared" si="2"/>
        <v>3</v>
      </c>
      <c r="D117">
        <v>85</v>
      </c>
      <c r="E117">
        <f t="shared" si="3"/>
        <v>15</v>
      </c>
      <c r="F117">
        <v>6</v>
      </c>
    </row>
    <row r="118" spans="1:6" x14ac:dyDescent="0.2">
      <c r="A118" s="1">
        <v>45835</v>
      </c>
      <c r="B118">
        <v>38</v>
      </c>
      <c r="C118">
        <f t="shared" si="2"/>
        <v>1</v>
      </c>
      <c r="D118">
        <v>70</v>
      </c>
      <c r="E118">
        <f t="shared" si="3"/>
        <v>30</v>
      </c>
      <c r="F118">
        <v>4</v>
      </c>
    </row>
    <row r="119" spans="1:6" x14ac:dyDescent="0.2">
      <c r="A119" s="1">
        <v>45835</v>
      </c>
      <c r="B119">
        <v>39</v>
      </c>
      <c r="C119">
        <f t="shared" si="2"/>
        <v>2</v>
      </c>
      <c r="D119">
        <v>80</v>
      </c>
      <c r="E119">
        <f t="shared" si="3"/>
        <v>20</v>
      </c>
      <c r="F119">
        <v>4</v>
      </c>
    </row>
    <row r="120" spans="1:6" x14ac:dyDescent="0.2">
      <c r="A120" s="1">
        <v>45835</v>
      </c>
      <c r="B120">
        <v>39</v>
      </c>
      <c r="C120">
        <f t="shared" si="2"/>
        <v>3</v>
      </c>
      <c r="D120">
        <v>70</v>
      </c>
      <c r="E120">
        <f t="shared" si="3"/>
        <v>30</v>
      </c>
      <c r="F120">
        <v>4</v>
      </c>
    </row>
    <row r="121" spans="1:6" x14ac:dyDescent="0.2">
      <c r="A121" s="1">
        <v>45835</v>
      </c>
      <c r="B121">
        <v>39</v>
      </c>
      <c r="C121">
        <f t="shared" si="2"/>
        <v>1</v>
      </c>
      <c r="D121">
        <v>80</v>
      </c>
      <c r="E121">
        <f t="shared" si="3"/>
        <v>20</v>
      </c>
      <c r="F121">
        <v>5</v>
      </c>
    </row>
    <row r="122" spans="1:6" x14ac:dyDescent="0.2">
      <c r="A122" s="1">
        <v>45835</v>
      </c>
      <c r="B122">
        <v>40</v>
      </c>
      <c r="C122">
        <f t="shared" si="2"/>
        <v>2</v>
      </c>
      <c r="D122">
        <v>90</v>
      </c>
      <c r="E122">
        <f t="shared" si="3"/>
        <v>10</v>
      </c>
      <c r="F122">
        <v>5</v>
      </c>
    </row>
    <row r="123" spans="1:6" x14ac:dyDescent="0.2">
      <c r="A123" s="1">
        <v>45835</v>
      </c>
      <c r="B123">
        <v>40</v>
      </c>
      <c r="C123">
        <f t="shared" si="2"/>
        <v>3</v>
      </c>
      <c r="D123">
        <v>60</v>
      </c>
      <c r="E123">
        <f t="shared" si="3"/>
        <v>40</v>
      </c>
      <c r="F123">
        <v>5</v>
      </c>
    </row>
    <row r="124" spans="1:6" x14ac:dyDescent="0.2">
      <c r="A124" s="1">
        <v>45835</v>
      </c>
      <c r="B124">
        <v>40</v>
      </c>
      <c r="C124">
        <f t="shared" si="2"/>
        <v>1</v>
      </c>
      <c r="D124">
        <v>40</v>
      </c>
      <c r="E124">
        <f t="shared" si="3"/>
        <v>60</v>
      </c>
      <c r="F124">
        <v>5</v>
      </c>
    </row>
    <row r="125" spans="1:6" x14ac:dyDescent="0.2">
      <c r="A125" s="1">
        <v>45835</v>
      </c>
      <c r="B125">
        <v>41</v>
      </c>
      <c r="C125">
        <f t="shared" si="2"/>
        <v>2</v>
      </c>
      <c r="D125">
        <v>95</v>
      </c>
      <c r="E125">
        <f t="shared" si="3"/>
        <v>5</v>
      </c>
      <c r="F125">
        <v>5</v>
      </c>
    </row>
    <row r="126" spans="1:6" x14ac:dyDescent="0.2">
      <c r="A126" s="1">
        <v>45835</v>
      </c>
      <c r="B126">
        <v>41</v>
      </c>
      <c r="C126">
        <f t="shared" si="2"/>
        <v>3</v>
      </c>
      <c r="D126">
        <v>80</v>
      </c>
      <c r="E126">
        <f t="shared" si="3"/>
        <v>20</v>
      </c>
      <c r="F126">
        <v>6</v>
      </c>
    </row>
    <row r="127" spans="1:6" x14ac:dyDescent="0.2">
      <c r="A127" s="1">
        <v>45835</v>
      </c>
      <c r="B127">
        <v>41</v>
      </c>
      <c r="C127">
        <f t="shared" si="2"/>
        <v>1</v>
      </c>
      <c r="D127">
        <v>95</v>
      </c>
      <c r="E127">
        <f t="shared" si="3"/>
        <v>5</v>
      </c>
      <c r="F127">
        <v>5</v>
      </c>
    </row>
    <row r="128" spans="1:6" x14ac:dyDescent="0.2">
      <c r="A128" s="1">
        <v>45835</v>
      </c>
      <c r="B128">
        <v>42</v>
      </c>
      <c r="C128">
        <f t="shared" si="2"/>
        <v>2</v>
      </c>
      <c r="D128">
        <v>80</v>
      </c>
      <c r="E128">
        <f t="shared" si="3"/>
        <v>20</v>
      </c>
      <c r="F128">
        <v>4</v>
      </c>
    </row>
    <row r="129" spans="1:6" x14ac:dyDescent="0.2">
      <c r="A129" s="1">
        <v>45835</v>
      </c>
      <c r="B129">
        <v>42</v>
      </c>
      <c r="C129">
        <f t="shared" si="2"/>
        <v>3</v>
      </c>
      <c r="D129">
        <v>70</v>
      </c>
      <c r="E129">
        <f t="shared" si="3"/>
        <v>30</v>
      </c>
      <c r="F129">
        <v>6</v>
      </c>
    </row>
    <row r="130" spans="1:6" x14ac:dyDescent="0.2">
      <c r="A130" s="1">
        <v>45835</v>
      </c>
      <c r="B130">
        <v>42</v>
      </c>
      <c r="C130">
        <f t="shared" si="2"/>
        <v>1</v>
      </c>
      <c r="D130">
        <v>95</v>
      </c>
      <c r="E130">
        <f t="shared" si="3"/>
        <v>5</v>
      </c>
      <c r="F130">
        <v>4</v>
      </c>
    </row>
    <row r="131" spans="1:6" x14ac:dyDescent="0.2">
      <c r="A131" s="1">
        <v>45835</v>
      </c>
      <c r="B131">
        <v>43</v>
      </c>
      <c r="C131">
        <f t="shared" si="2"/>
        <v>2</v>
      </c>
      <c r="D131">
        <v>65</v>
      </c>
      <c r="E131">
        <f t="shared" si="3"/>
        <v>35</v>
      </c>
      <c r="F131">
        <v>6</v>
      </c>
    </row>
    <row r="132" spans="1:6" x14ac:dyDescent="0.2">
      <c r="A132" s="1">
        <v>45835</v>
      </c>
      <c r="B132">
        <v>43</v>
      </c>
      <c r="C132">
        <f t="shared" si="2"/>
        <v>3</v>
      </c>
      <c r="D132">
        <v>30</v>
      </c>
      <c r="E132">
        <f t="shared" si="3"/>
        <v>70</v>
      </c>
      <c r="F132">
        <v>3</v>
      </c>
    </row>
    <row r="133" spans="1:6" x14ac:dyDescent="0.2">
      <c r="A133" s="1">
        <v>45835</v>
      </c>
      <c r="B133">
        <v>43</v>
      </c>
      <c r="C133">
        <f t="shared" si="2"/>
        <v>1</v>
      </c>
      <c r="D133">
        <v>30</v>
      </c>
      <c r="E133">
        <f t="shared" si="3"/>
        <v>70</v>
      </c>
      <c r="F133">
        <v>4</v>
      </c>
    </row>
    <row r="134" spans="1:6" x14ac:dyDescent="0.2">
      <c r="A134" s="1">
        <v>45835</v>
      </c>
      <c r="B134">
        <v>44</v>
      </c>
      <c r="C134">
        <f t="shared" ref="C134:C196" si="4">MOD(ROW()-1,3)+1</f>
        <v>2</v>
      </c>
      <c r="D134">
        <v>40</v>
      </c>
      <c r="E134">
        <f t="shared" ref="E134:E196" si="5">100-D134</f>
        <v>60</v>
      </c>
      <c r="F134">
        <v>7</v>
      </c>
    </row>
    <row r="135" spans="1:6" x14ac:dyDescent="0.2">
      <c r="A135" s="1">
        <v>45835</v>
      </c>
      <c r="B135">
        <v>44</v>
      </c>
      <c r="C135">
        <f t="shared" si="4"/>
        <v>3</v>
      </c>
      <c r="D135">
        <v>0</v>
      </c>
      <c r="E135">
        <f t="shared" si="5"/>
        <v>100</v>
      </c>
      <c r="F135">
        <v>6</v>
      </c>
    </row>
    <row r="136" spans="1:6" x14ac:dyDescent="0.2">
      <c r="A136" s="1">
        <v>45835</v>
      </c>
      <c r="B136">
        <v>44</v>
      </c>
      <c r="C136">
        <f t="shared" si="4"/>
        <v>1</v>
      </c>
      <c r="D136">
        <v>10</v>
      </c>
      <c r="E136">
        <f t="shared" si="5"/>
        <v>90</v>
      </c>
      <c r="F136">
        <v>2</v>
      </c>
    </row>
    <row r="137" spans="1:6" x14ac:dyDescent="0.2">
      <c r="A137" s="1">
        <v>45835</v>
      </c>
      <c r="B137">
        <v>45</v>
      </c>
      <c r="C137">
        <f t="shared" si="4"/>
        <v>2</v>
      </c>
      <c r="D137">
        <v>20</v>
      </c>
      <c r="E137">
        <f t="shared" si="5"/>
        <v>80</v>
      </c>
      <c r="F137">
        <v>5</v>
      </c>
    </row>
    <row r="138" spans="1:6" x14ac:dyDescent="0.2">
      <c r="A138" s="1">
        <v>45835</v>
      </c>
      <c r="B138">
        <v>45</v>
      </c>
      <c r="C138">
        <f t="shared" si="4"/>
        <v>3</v>
      </c>
      <c r="D138">
        <v>40</v>
      </c>
      <c r="E138">
        <f t="shared" si="5"/>
        <v>60</v>
      </c>
      <c r="F138">
        <v>10</v>
      </c>
    </row>
    <row r="139" spans="1:6" x14ac:dyDescent="0.2">
      <c r="A139" s="1">
        <v>45835</v>
      </c>
      <c r="B139">
        <v>45</v>
      </c>
      <c r="C139">
        <f t="shared" si="4"/>
        <v>1</v>
      </c>
      <c r="D139">
        <v>40</v>
      </c>
      <c r="E139">
        <f t="shared" si="5"/>
        <v>60</v>
      </c>
      <c r="F139">
        <v>2</v>
      </c>
    </row>
    <row r="140" spans="1:6" x14ac:dyDescent="0.2">
      <c r="A140" s="1">
        <v>45835</v>
      </c>
      <c r="B140">
        <v>46</v>
      </c>
      <c r="C140">
        <f t="shared" si="4"/>
        <v>2</v>
      </c>
      <c r="D140">
        <v>10</v>
      </c>
      <c r="E140">
        <f t="shared" si="5"/>
        <v>90</v>
      </c>
      <c r="F140">
        <v>3</v>
      </c>
    </row>
    <row r="141" spans="1:6" x14ac:dyDescent="0.2">
      <c r="A141" s="1">
        <v>45835</v>
      </c>
      <c r="B141">
        <v>46</v>
      </c>
      <c r="C141">
        <f t="shared" si="4"/>
        <v>3</v>
      </c>
      <c r="D141">
        <v>0</v>
      </c>
      <c r="E141">
        <f t="shared" si="5"/>
        <v>100</v>
      </c>
      <c r="F141">
        <v>4</v>
      </c>
    </row>
    <row r="142" spans="1:6" x14ac:dyDescent="0.2">
      <c r="A142" s="1">
        <v>45835</v>
      </c>
      <c r="B142">
        <v>46</v>
      </c>
      <c r="C142">
        <f t="shared" si="4"/>
        <v>1</v>
      </c>
      <c r="D142">
        <v>40</v>
      </c>
      <c r="E142">
        <f t="shared" si="5"/>
        <v>60</v>
      </c>
      <c r="F142">
        <v>3</v>
      </c>
    </row>
    <row r="143" spans="1:6" x14ac:dyDescent="0.2">
      <c r="A143" s="1">
        <v>45835</v>
      </c>
      <c r="B143">
        <v>47</v>
      </c>
      <c r="C143">
        <f t="shared" si="4"/>
        <v>2</v>
      </c>
      <c r="D143">
        <v>40</v>
      </c>
      <c r="E143">
        <f t="shared" si="5"/>
        <v>60</v>
      </c>
      <c r="F143">
        <v>4</v>
      </c>
    </row>
    <row r="144" spans="1:6" x14ac:dyDescent="0.2">
      <c r="A144" s="1">
        <v>45835</v>
      </c>
      <c r="B144">
        <v>47</v>
      </c>
      <c r="C144">
        <f t="shared" si="4"/>
        <v>3</v>
      </c>
      <c r="D144">
        <v>25</v>
      </c>
      <c r="E144">
        <f t="shared" si="5"/>
        <v>75</v>
      </c>
      <c r="F144">
        <v>3</v>
      </c>
    </row>
    <row r="145" spans="1:6" x14ac:dyDescent="0.2">
      <c r="A145" s="1">
        <v>45835</v>
      </c>
      <c r="B145">
        <v>47</v>
      </c>
      <c r="C145">
        <f t="shared" si="4"/>
        <v>1</v>
      </c>
      <c r="D145">
        <v>30</v>
      </c>
      <c r="E145">
        <f t="shared" si="5"/>
        <v>70</v>
      </c>
      <c r="F145">
        <v>3</v>
      </c>
    </row>
    <row r="146" spans="1:6" x14ac:dyDescent="0.2">
      <c r="A146" s="1">
        <v>45835</v>
      </c>
      <c r="B146">
        <v>48</v>
      </c>
      <c r="C146">
        <f t="shared" si="4"/>
        <v>2</v>
      </c>
      <c r="D146">
        <v>70</v>
      </c>
      <c r="E146">
        <f t="shared" si="5"/>
        <v>30</v>
      </c>
      <c r="F146">
        <v>8</v>
      </c>
    </row>
    <row r="147" spans="1:6" x14ac:dyDescent="0.2">
      <c r="A147" s="1">
        <v>45835</v>
      </c>
      <c r="B147">
        <v>48</v>
      </c>
      <c r="C147">
        <f t="shared" si="4"/>
        <v>3</v>
      </c>
      <c r="D147">
        <v>80</v>
      </c>
      <c r="E147">
        <f t="shared" si="5"/>
        <v>20</v>
      </c>
      <c r="F147">
        <v>4</v>
      </c>
    </row>
    <row r="148" spans="1:6" x14ac:dyDescent="0.2">
      <c r="A148" s="1">
        <v>45835</v>
      </c>
      <c r="B148">
        <v>48</v>
      </c>
      <c r="C148">
        <f t="shared" si="4"/>
        <v>1</v>
      </c>
      <c r="D148">
        <v>85</v>
      </c>
      <c r="E148">
        <f t="shared" si="5"/>
        <v>15</v>
      </c>
      <c r="F148">
        <v>5</v>
      </c>
    </row>
    <row r="149" spans="1:6" x14ac:dyDescent="0.2">
      <c r="A149" s="1">
        <v>45835</v>
      </c>
      <c r="B149">
        <v>49</v>
      </c>
      <c r="C149">
        <f t="shared" si="4"/>
        <v>2</v>
      </c>
      <c r="D149">
        <v>30</v>
      </c>
      <c r="E149">
        <f t="shared" si="5"/>
        <v>70</v>
      </c>
      <c r="F149">
        <v>5</v>
      </c>
    </row>
    <row r="150" spans="1:6" x14ac:dyDescent="0.2">
      <c r="A150" s="1">
        <v>45835</v>
      </c>
      <c r="B150">
        <v>49</v>
      </c>
      <c r="C150">
        <f t="shared" si="4"/>
        <v>3</v>
      </c>
      <c r="D150">
        <v>50</v>
      </c>
      <c r="E150">
        <f t="shared" si="5"/>
        <v>50</v>
      </c>
      <c r="F150">
        <v>6</v>
      </c>
    </row>
    <row r="151" spans="1:6" x14ac:dyDescent="0.2">
      <c r="A151" s="1">
        <v>45835</v>
      </c>
      <c r="B151">
        <v>49</v>
      </c>
      <c r="C151">
        <f t="shared" si="4"/>
        <v>1</v>
      </c>
      <c r="D151">
        <v>80</v>
      </c>
      <c r="E151">
        <f t="shared" si="5"/>
        <v>20</v>
      </c>
      <c r="F151">
        <v>3</v>
      </c>
    </row>
    <row r="152" spans="1:6" x14ac:dyDescent="0.2">
      <c r="A152" s="1">
        <v>45835</v>
      </c>
      <c r="B152">
        <v>50</v>
      </c>
      <c r="C152">
        <f t="shared" si="4"/>
        <v>2</v>
      </c>
      <c r="D152">
        <v>75</v>
      </c>
      <c r="E152">
        <f t="shared" si="5"/>
        <v>25</v>
      </c>
      <c r="F152">
        <v>6</v>
      </c>
    </row>
    <row r="153" spans="1:6" x14ac:dyDescent="0.2">
      <c r="A153" s="1">
        <v>45835</v>
      </c>
      <c r="B153">
        <v>50</v>
      </c>
      <c r="C153">
        <f t="shared" si="4"/>
        <v>3</v>
      </c>
      <c r="D153">
        <v>70</v>
      </c>
      <c r="E153">
        <f t="shared" si="5"/>
        <v>30</v>
      </c>
      <c r="F153">
        <v>8</v>
      </c>
    </row>
    <row r="154" spans="1:6" x14ac:dyDescent="0.2">
      <c r="A154" s="1">
        <v>45835</v>
      </c>
      <c r="B154">
        <v>50</v>
      </c>
      <c r="C154">
        <f t="shared" si="4"/>
        <v>1</v>
      </c>
      <c r="D154">
        <v>5</v>
      </c>
      <c r="E154">
        <f t="shared" si="5"/>
        <v>95</v>
      </c>
      <c r="F154">
        <v>1</v>
      </c>
    </row>
    <row r="155" spans="1:6" x14ac:dyDescent="0.2">
      <c r="A155" s="1">
        <v>45835</v>
      </c>
      <c r="B155">
        <v>51</v>
      </c>
      <c r="C155">
        <f t="shared" si="4"/>
        <v>2</v>
      </c>
      <c r="D155">
        <v>60</v>
      </c>
      <c r="E155">
        <f t="shared" si="5"/>
        <v>40</v>
      </c>
      <c r="F155">
        <v>3</v>
      </c>
    </row>
    <row r="156" spans="1:6" x14ac:dyDescent="0.2">
      <c r="A156" s="1">
        <v>45835</v>
      </c>
      <c r="B156">
        <v>51</v>
      </c>
      <c r="C156">
        <f t="shared" si="4"/>
        <v>3</v>
      </c>
      <c r="D156">
        <v>100</v>
      </c>
      <c r="E156">
        <f t="shared" si="5"/>
        <v>0</v>
      </c>
      <c r="F156">
        <v>12</v>
      </c>
    </row>
    <row r="157" spans="1:6" x14ac:dyDescent="0.2">
      <c r="A157" s="1">
        <v>45835</v>
      </c>
      <c r="B157">
        <v>51</v>
      </c>
      <c r="C157">
        <f t="shared" si="4"/>
        <v>1</v>
      </c>
      <c r="D157">
        <v>35</v>
      </c>
      <c r="E157">
        <f t="shared" si="5"/>
        <v>65</v>
      </c>
      <c r="F157">
        <v>6</v>
      </c>
    </row>
    <row r="158" spans="1:6" x14ac:dyDescent="0.2">
      <c r="A158" s="1">
        <v>45835</v>
      </c>
      <c r="B158">
        <v>52</v>
      </c>
      <c r="C158">
        <f t="shared" si="4"/>
        <v>2</v>
      </c>
      <c r="D158">
        <v>90</v>
      </c>
      <c r="E158">
        <f t="shared" si="5"/>
        <v>10</v>
      </c>
      <c r="F158">
        <v>6</v>
      </c>
    </row>
    <row r="159" spans="1:6" x14ac:dyDescent="0.2">
      <c r="A159" s="1">
        <v>45835</v>
      </c>
      <c r="B159">
        <v>52</v>
      </c>
      <c r="C159">
        <f t="shared" si="4"/>
        <v>3</v>
      </c>
      <c r="D159">
        <v>45</v>
      </c>
      <c r="E159">
        <f t="shared" si="5"/>
        <v>55</v>
      </c>
      <c r="F159">
        <v>6</v>
      </c>
    </row>
    <row r="160" spans="1:6" x14ac:dyDescent="0.2">
      <c r="A160" s="1">
        <v>45835</v>
      </c>
      <c r="B160">
        <v>52</v>
      </c>
      <c r="C160">
        <f t="shared" si="4"/>
        <v>1</v>
      </c>
      <c r="D160">
        <v>95</v>
      </c>
      <c r="E160">
        <f t="shared" si="5"/>
        <v>5</v>
      </c>
      <c r="F160">
        <v>9</v>
      </c>
    </row>
    <row r="161" spans="1:6" x14ac:dyDescent="0.2">
      <c r="A161" s="1">
        <v>45835</v>
      </c>
      <c r="B161">
        <v>53</v>
      </c>
      <c r="C161">
        <f t="shared" si="4"/>
        <v>2</v>
      </c>
      <c r="D161">
        <v>40</v>
      </c>
      <c r="E161">
        <f t="shared" si="5"/>
        <v>60</v>
      </c>
      <c r="F161">
        <v>5</v>
      </c>
    </row>
    <row r="162" spans="1:6" x14ac:dyDescent="0.2">
      <c r="A162" s="1">
        <v>45835</v>
      </c>
      <c r="B162">
        <v>53</v>
      </c>
      <c r="C162">
        <f t="shared" si="4"/>
        <v>3</v>
      </c>
      <c r="D162">
        <v>50</v>
      </c>
      <c r="E162">
        <f t="shared" si="5"/>
        <v>50</v>
      </c>
      <c r="F162">
        <v>4</v>
      </c>
    </row>
    <row r="163" spans="1:6" x14ac:dyDescent="0.2">
      <c r="A163" s="1">
        <v>45835</v>
      </c>
      <c r="B163">
        <v>53</v>
      </c>
      <c r="C163">
        <f t="shared" si="4"/>
        <v>1</v>
      </c>
      <c r="D163">
        <v>50</v>
      </c>
      <c r="E163">
        <f t="shared" si="5"/>
        <v>50</v>
      </c>
      <c r="F163">
        <v>6</v>
      </c>
    </row>
    <row r="164" spans="1:6" x14ac:dyDescent="0.2">
      <c r="A164" s="1">
        <v>45835</v>
      </c>
      <c r="B164">
        <v>54</v>
      </c>
      <c r="C164">
        <f t="shared" si="4"/>
        <v>2</v>
      </c>
      <c r="D164">
        <v>0</v>
      </c>
      <c r="E164">
        <f t="shared" si="5"/>
        <v>100</v>
      </c>
      <c r="F164">
        <v>0</v>
      </c>
    </row>
    <row r="165" spans="1:6" x14ac:dyDescent="0.2">
      <c r="A165" s="1">
        <v>45835</v>
      </c>
      <c r="B165">
        <v>54</v>
      </c>
      <c r="C165">
        <f t="shared" si="4"/>
        <v>3</v>
      </c>
      <c r="D165">
        <v>15</v>
      </c>
      <c r="E165">
        <f t="shared" si="5"/>
        <v>85</v>
      </c>
      <c r="F165">
        <v>5</v>
      </c>
    </row>
    <row r="166" spans="1:6" x14ac:dyDescent="0.2">
      <c r="A166" s="1">
        <v>45835</v>
      </c>
      <c r="B166">
        <v>54</v>
      </c>
      <c r="C166">
        <f t="shared" si="4"/>
        <v>1</v>
      </c>
      <c r="D166">
        <v>80</v>
      </c>
      <c r="E166">
        <f t="shared" si="5"/>
        <v>20</v>
      </c>
      <c r="F166">
        <v>5</v>
      </c>
    </row>
    <row r="167" spans="1:6" x14ac:dyDescent="0.2">
      <c r="A167" s="1">
        <v>45835</v>
      </c>
      <c r="B167">
        <v>55</v>
      </c>
      <c r="C167">
        <f t="shared" si="4"/>
        <v>2</v>
      </c>
      <c r="D167">
        <v>10</v>
      </c>
      <c r="E167">
        <f t="shared" si="5"/>
        <v>90</v>
      </c>
      <c r="F167">
        <v>5</v>
      </c>
    </row>
    <row r="168" spans="1:6" x14ac:dyDescent="0.2">
      <c r="A168" s="1">
        <v>45835</v>
      </c>
      <c r="B168">
        <v>55</v>
      </c>
      <c r="C168">
        <f t="shared" si="4"/>
        <v>3</v>
      </c>
      <c r="D168">
        <v>70</v>
      </c>
      <c r="E168">
        <f t="shared" si="5"/>
        <v>30</v>
      </c>
      <c r="F168">
        <v>2</v>
      </c>
    </row>
    <row r="169" spans="1:6" x14ac:dyDescent="0.2">
      <c r="A169" s="1">
        <v>45835</v>
      </c>
      <c r="B169">
        <v>55</v>
      </c>
      <c r="C169">
        <f t="shared" si="4"/>
        <v>1</v>
      </c>
      <c r="D169">
        <v>0</v>
      </c>
      <c r="E169">
        <f t="shared" si="5"/>
        <v>100</v>
      </c>
      <c r="F169">
        <v>0</v>
      </c>
    </row>
    <row r="170" spans="1:6" x14ac:dyDescent="0.2">
      <c r="A170" s="1">
        <v>45835</v>
      </c>
      <c r="B170">
        <v>56</v>
      </c>
      <c r="C170">
        <f t="shared" si="4"/>
        <v>2</v>
      </c>
      <c r="D170">
        <v>85</v>
      </c>
      <c r="E170">
        <f t="shared" si="5"/>
        <v>15</v>
      </c>
      <c r="F170">
        <v>7</v>
      </c>
    </row>
    <row r="171" spans="1:6" x14ac:dyDescent="0.2">
      <c r="A171" s="1">
        <v>45835</v>
      </c>
      <c r="B171">
        <v>56</v>
      </c>
      <c r="C171">
        <f t="shared" si="4"/>
        <v>3</v>
      </c>
      <c r="D171">
        <v>60</v>
      </c>
      <c r="E171">
        <f t="shared" si="5"/>
        <v>40</v>
      </c>
      <c r="F171">
        <v>6</v>
      </c>
    </row>
    <row r="172" spans="1:6" x14ac:dyDescent="0.2">
      <c r="A172" s="1">
        <v>45835</v>
      </c>
      <c r="B172">
        <v>56</v>
      </c>
      <c r="C172">
        <f t="shared" si="4"/>
        <v>1</v>
      </c>
      <c r="D172">
        <v>50</v>
      </c>
      <c r="E172">
        <f t="shared" si="5"/>
        <v>50</v>
      </c>
      <c r="F172">
        <v>5</v>
      </c>
    </row>
    <row r="173" spans="1:6" x14ac:dyDescent="0.2">
      <c r="A173" s="1">
        <v>45835</v>
      </c>
      <c r="B173">
        <v>57</v>
      </c>
      <c r="C173">
        <f t="shared" si="4"/>
        <v>2</v>
      </c>
      <c r="D173">
        <v>70</v>
      </c>
      <c r="E173">
        <f t="shared" si="5"/>
        <v>30</v>
      </c>
      <c r="F173">
        <v>5</v>
      </c>
    </row>
    <row r="174" spans="1:6" x14ac:dyDescent="0.2">
      <c r="A174" s="1">
        <v>45835</v>
      </c>
      <c r="B174">
        <v>57</v>
      </c>
      <c r="C174">
        <f t="shared" si="4"/>
        <v>3</v>
      </c>
      <c r="D174">
        <v>60</v>
      </c>
      <c r="E174">
        <f t="shared" si="5"/>
        <v>40</v>
      </c>
      <c r="F174">
        <v>5</v>
      </c>
    </row>
    <row r="175" spans="1:6" x14ac:dyDescent="0.2">
      <c r="A175" s="1">
        <v>45835</v>
      </c>
      <c r="B175">
        <v>57</v>
      </c>
      <c r="C175">
        <f t="shared" si="4"/>
        <v>1</v>
      </c>
      <c r="D175">
        <v>90</v>
      </c>
      <c r="E175">
        <f t="shared" si="5"/>
        <v>10</v>
      </c>
      <c r="F175">
        <v>5</v>
      </c>
    </row>
    <row r="176" spans="1:6" x14ac:dyDescent="0.2">
      <c r="A176" s="1">
        <v>45835</v>
      </c>
      <c r="B176">
        <v>58</v>
      </c>
      <c r="C176">
        <f t="shared" si="4"/>
        <v>2</v>
      </c>
      <c r="D176">
        <v>95</v>
      </c>
      <c r="E176">
        <f t="shared" si="5"/>
        <v>5</v>
      </c>
      <c r="F176">
        <v>1</v>
      </c>
    </row>
    <row r="177" spans="1:6" x14ac:dyDescent="0.2">
      <c r="A177" s="1">
        <v>45835</v>
      </c>
      <c r="B177">
        <v>58</v>
      </c>
      <c r="C177">
        <f t="shared" si="4"/>
        <v>3</v>
      </c>
      <c r="D177">
        <v>30</v>
      </c>
      <c r="E177">
        <f t="shared" si="5"/>
        <v>70</v>
      </c>
      <c r="F177">
        <v>5</v>
      </c>
    </row>
    <row r="178" spans="1:6" x14ac:dyDescent="0.2">
      <c r="A178" s="1">
        <v>45835</v>
      </c>
      <c r="B178">
        <v>58</v>
      </c>
      <c r="C178">
        <f t="shared" si="4"/>
        <v>1</v>
      </c>
      <c r="D178">
        <v>40</v>
      </c>
      <c r="E178">
        <f t="shared" si="5"/>
        <v>60</v>
      </c>
      <c r="F178">
        <v>4</v>
      </c>
    </row>
    <row r="179" spans="1:6" x14ac:dyDescent="0.2">
      <c r="A179" s="1">
        <v>45835</v>
      </c>
      <c r="B179">
        <v>59</v>
      </c>
      <c r="C179">
        <f t="shared" si="4"/>
        <v>2</v>
      </c>
      <c r="D179">
        <v>50</v>
      </c>
      <c r="E179">
        <f t="shared" si="5"/>
        <v>50</v>
      </c>
      <c r="F179">
        <v>7</v>
      </c>
    </row>
    <row r="180" spans="1:6" x14ac:dyDescent="0.2">
      <c r="A180" s="1">
        <v>45835</v>
      </c>
      <c r="B180">
        <v>59</v>
      </c>
      <c r="C180">
        <f t="shared" si="4"/>
        <v>3</v>
      </c>
      <c r="D180">
        <v>90</v>
      </c>
      <c r="E180">
        <f t="shared" si="5"/>
        <v>10</v>
      </c>
      <c r="F180">
        <v>5</v>
      </c>
    </row>
    <row r="181" spans="1:6" x14ac:dyDescent="0.2">
      <c r="A181" s="1">
        <v>45835</v>
      </c>
      <c r="B181">
        <v>59</v>
      </c>
      <c r="C181">
        <f t="shared" si="4"/>
        <v>1</v>
      </c>
      <c r="D181">
        <v>80</v>
      </c>
      <c r="E181">
        <f t="shared" si="5"/>
        <v>20</v>
      </c>
      <c r="F181">
        <v>6</v>
      </c>
    </row>
    <row r="182" spans="1:6" x14ac:dyDescent="0.2">
      <c r="A182" s="1">
        <v>45835</v>
      </c>
      <c r="B182">
        <v>60</v>
      </c>
      <c r="C182">
        <f t="shared" si="4"/>
        <v>2</v>
      </c>
      <c r="D182">
        <v>65</v>
      </c>
      <c r="E182">
        <f t="shared" si="5"/>
        <v>35</v>
      </c>
      <c r="F182">
        <v>7</v>
      </c>
    </row>
    <row r="183" spans="1:6" x14ac:dyDescent="0.2">
      <c r="A183" s="1">
        <v>45835</v>
      </c>
      <c r="B183">
        <v>60</v>
      </c>
      <c r="C183">
        <f t="shared" si="4"/>
        <v>3</v>
      </c>
      <c r="D183">
        <v>100</v>
      </c>
      <c r="E183">
        <f t="shared" si="5"/>
        <v>0</v>
      </c>
      <c r="F183">
        <v>6</v>
      </c>
    </row>
    <row r="184" spans="1:6" x14ac:dyDescent="0.2">
      <c r="A184" s="1">
        <v>45835</v>
      </c>
      <c r="B184">
        <v>60</v>
      </c>
      <c r="C184">
        <f t="shared" si="4"/>
        <v>1</v>
      </c>
      <c r="D184">
        <v>60</v>
      </c>
      <c r="E184">
        <f t="shared" si="5"/>
        <v>40</v>
      </c>
      <c r="F184">
        <v>6</v>
      </c>
    </row>
    <row r="185" spans="1:6" x14ac:dyDescent="0.2">
      <c r="A185" s="1">
        <v>45835</v>
      </c>
      <c r="B185">
        <v>61</v>
      </c>
      <c r="C185">
        <f t="shared" si="4"/>
        <v>2</v>
      </c>
      <c r="D185">
        <v>80</v>
      </c>
      <c r="E185">
        <f t="shared" si="5"/>
        <v>20</v>
      </c>
      <c r="F185">
        <v>4</v>
      </c>
    </row>
    <row r="186" spans="1:6" x14ac:dyDescent="0.2">
      <c r="A186" s="1">
        <v>45835</v>
      </c>
      <c r="B186">
        <v>61</v>
      </c>
      <c r="C186">
        <f t="shared" si="4"/>
        <v>3</v>
      </c>
      <c r="D186">
        <v>90</v>
      </c>
      <c r="E186">
        <f t="shared" si="5"/>
        <v>10</v>
      </c>
      <c r="F186">
        <v>5</v>
      </c>
    </row>
    <row r="187" spans="1:6" x14ac:dyDescent="0.2">
      <c r="A187" s="1">
        <v>45835</v>
      </c>
      <c r="B187">
        <v>61</v>
      </c>
      <c r="C187">
        <f t="shared" si="4"/>
        <v>1</v>
      </c>
      <c r="D187">
        <v>90</v>
      </c>
      <c r="E187">
        <f t="shared" si="5"/>
        <v>10</v>
      </c>
      <c r="F187">
        <v>5</v>
      </c>
    </row>
    <row r="188" spans="1:6" x14ac:dyDescent="0.2">
      <c r="A188" s="1">
        <v>45835</v>
      </c>
      <c r="B188">
        <v>62</v>
      </c>
      <c r="C188">
        <f t="shared" si="4"/>
        <v>2</v>
      </c>
      <c r="D188">
        <v>85</v>
      </c>
      <c r="E188">
        <f t="shared" si="5"/>
        <v>15</v>
      </c>
      <c r="F188">
        <v>4</v>
      </c>
    </row>
    <row r="189" spans="1:6" x14ac:dyDescent="0.2">
      <c r="A189" s="1">
        <v>45835</v>
      </c>
      <c r="B189">
        <v>62</v>
      </c>
      <c r="C189">
        <f t="shared" si="4"/>
        <v>3</v>
      </c>
      <c r="D189">
        <v>75</v>
      </c>
      <c r="E189">
        <f t="shared" si="5"/>
        <v>25</v>
      </c>
      <c r="F189">
        <v>3</v>
      </c>
    </row>
    <row r="190" spans="1:6" x14ac:dyDescent="0.2">
      <c r="A190" s="1">
        <v>45835</v>
      </c>
      <c r="B190">
        <v>62</v>
      </c>
      <c r="C190">
        <f t="shared" si="4"/>
        <v>1</v>
      </c>
      <c r="D190">
        <v>50</v>
      </c>
      <c r="E190">
        <f t="shared" si="5"/>
        <v>50</v>
      </c>
      <c r="F190">
        <v>2</v>
      </c>
    </row>
    <row r="191" spans="1:6" x14ac:dyDescent="0.2">
      <c r="A191" s="1">
        <v>45835</v>
      </c>
      <c r="B191">
        <v>63</v>
      </c>
      <c r="C191">
        <f t="shared" si="4"/>
        <v>2</v>
      </c>
      <c r="D191">
        <v>75</v>
      </c>
      <c r="E191">
        <f t="shared" si="5"/>
        <v>25</v>
      </c>
      <c r="F191">
        <v>5</v>
      </c>
    </row>
    <row r="192" spans="1:6" x14ac:dyDescent="0.2">
      <c r="A192" s="1">
        <v>45835</v>
      </c>
      <c r="B192">
        <v>63</v>
      </c>
      <c r="C192">
        <f t="shared" si="4"/>
        <v>3</v>
      </c>
      <c r="D192">
        <v>70</v>
      </c>
      <c r="E192">
        <f t="shared" si="5"/>
        <v>30</v>
      </c>
      <c r="F192">
        <v>6</v>
      </c>
    </row>
    <row r="193" spans="1:6" x14ac:dyDescent="0.2">
      <c r="A193" s="1">
        <v>45835</v>
      </c>
      <c r="B193">
        <v>63</v>
      </c>
      <c r="C193">
        <f t="shared" si="4"/>
        <v>1</v>
      </c>
      <c r="D193">
        <v>80</v>
      </c>
      <c r="E193">
        <f t="shared" si="5"/>
        <v>20</v>
      </c>
      <c r="F193">
        <v>3</v>
      </c>
    </row>
    <row r="194" spans="1:6" x14ac:dyDescent="0.2">
      <c r="A194" s="1">
        <v>45835</v>
      </c>
      <c r="B194">
        <v>64</v>
      </c>
      <c r="C194">
        <f t="shared" si="4"/>
        <v>2</v>
      </c>
      <c r="D194">
        <v>60</v>
      </c>
      <c r="E194">
        <f t="shared" si="5"/>
        <v>40</v>
      </c>
      <c r="F194">
        <v>6</v>
      </c>
    </row>
    <row r="195" spans="1:6" x14ac:dyDescent="0.2">
      <c r="A195" s="1">
        <v>45835</v>
      </c>
      <c r="B195">
        <v>64</v>
      </c>
      <c r="C195">
        <f t="shared" si="4"/>
        <v>3</v>
      </c>
      <c r="D195">
        <v>90</v>
      </c>
      <c r="E195">
        <f t="shared" si="5"/>
        <v>10</v>
      </c>
      <c r="F195">
        <v>4</v>
      </c>
    </row>
    <row r="196" spans="1:6" x14ac:dyDescent="0.2">
      <c r="A196" s="1">
        <v>45835</v>
      </c>
      <c r="B196">
        <v>64</v>
      </c>
      <c r="C196">
        <f t="shared" si="4"/>
        <v>1</v>
      </c>
      <c r="D196">
        <v>95</v>
      </c>
      <c r="E196">
        <f t="shared" si="5"/>
        <v>5</v>
      </c>
      <c r="F19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AA65-CE74-4470-B62A-35D401E9F6EA}">
  <dimension ref="A1:AF202"/>
  <sheetViews>
    <sheetView topLeftCell="L1" workbookViewId="0">
      <pane ySplit="10" topLeftCell="A11" activePane="bottomLeft" state="frozen"/>
      <selection activeCell="A10" sqref="A10"/>
      <selection pane="bottomLeft" activeCell="S12" sqref="S12"/>
    </sheetView>
  </sheetViews>
  <sheetFormatPr baseColWidth="10" defaultColWidth="8.83203125" defaultRowHeight="15" x14ac:dyDescent="0.2"/>
  <cols>
    <col min="1" max="1" width="9.1640625" bestFit="1" customWidth="1"/>
    <col min="4" max="4" width="11.5" bestFit="1" customWidth="1"/>
    <col min="5" max="5" width="8.5" bestFit="1" customWidth="1"/>
    <col min="6" max="6" width="9.33203125" bestFit="1" customWidth="1"/>
    <col min="7" max="7" width="16.83203125" bestFit="1" customWidth="1"/>
    <col min="8" max="10" width="19" bestFit="1" customWidth="1"/>
    <col min="11" max="11" width="7.6640625" customWidth="1"/>
    <col min="12" max="12" width="9.33203125" customWidth="1"/>
    <col min="13" max="13" width="6.6640625" bestFit="1" customWidth="1"/>
  </cols>
  <sheetData>
    <row r="1" spans="1:32" x14ac:dyDescent="0.2">
      <c r="A1" t="s">
        <v>101</v>
      </c>
      <c r="L1" t="s">
        <v>101</v>
      </c>
    </row>
    <row r="2" spans="1:32" x14ac:dyDescent="0.2">
      <c r="A2" t="s">
        <v>102</v>
      </c>
      <c r="L2" t="s">
        <v>141</v>
      </c>
    </row>
    <row r="3" spans="1:32" x14ac:dyDescent="0.2">
      <c r="A3" t="s">
        <v>103</v>
      </c>
      <c r="L3" t="s">
        <v>142</v>
      </c>
      <c r="M3" t="s">
        <v>143</v>
      </c>
    </row>
    <row r="4" spans="1:32" x14ac:dyDescent="0.2">
      <c r="A4" t="s">
        <v>104</v>
      </c>
      <c r="L4" t="s">
        <v>144</v>
      </c>
    </row>
    <row r="5" spans="1:32" x14ac:dyDescent="0.2">
      <c r="A5" t="s">
        <v>106</v>
      </c>
      <c r="L5" t="s">
        <v>145</v>
      </c>
    </row>
    <row r="6" spans="1:32" x14ac:dyDescent="0.2">
      <c r="A6" t="s">
        <v>105</v>
      </c>
    </row>
    <row r="7" spans="1:32" x14ac:dyDescent="0.2">
      <c r="A7" t="s">
        <v>107</v>
      </c>
    </row>
    <row r="8" spans="1:32" x14ac:dyDescent="0.2">
      <c r="A8" t="s">
        <v>108</v>
      </c>
    </row>
    <row r="10" spans="1:32" x14ac:dyDescent="0.2">
      <c r="A10" t="s">
        <v>4</v>
      </c>
      <c r="B10" t="s">
        <v>10</v>
      </c>
      <c r="C10" t="s">
        <v>7</v>
      </c>
      <c r="D10" t="s">
        <v>13</v>
      </c>
      <c r="E10" t="s">
        <v>11</v>
      </c>
      <c r="F10" t="s">
        <v>12</v>
      </c>
      <c r="G10" t="s">
        <v>109</v>
      </c>
      <c r="H10" t="s">
        <v>110</v>
      </c>
      <c r="I10" t="s">
        <v>111</v>
      </c>
      <c r="J10" t="s">
        <v>112</v>
      </c>
      <c r="L10" t="s">
        <v>4</v>
      </c>
      <c r="M10" t="s">
        <v>10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  <c r="Y10" t="s">
        <v>124</v>
      </c>
      <c r="Z10" t="s">
        <v>125</v>
      </c>
      <c r="AA10" t="s">
        <v>127</v>
      </c>
      <c r="AB10" t="s">
        <v>128</v>
      </c>
      <c r="AC10" t="s">
        <v>129</v>
      </c>
      <c r="AD10" t="s">
        <v>130</v>
      </c>
      <c r="AE10" t="s">
        <v>131</v>
      </c>
      <c r="AF10" t="s">
        <v>21</v>
      </c>
    </row>
    <row r="11" spans="1:32" x14ac:dyDescent="0.2">
      <c r="A11" s="1">
        <v>45859</v>
      </c>
      <c r="B11" cm="1">
        <f t="array" ref="B11:B202">ROUNDUP(_xlfn.SEQUENCE(192)/3,0)</f>
        <v>1</v>
      </c>
      <c r="C11">
        <v>1</v>
      </c>
      <c r="D11">
        <v>2</v>
      </c>
      <c r="E11">
        <v>25</v>
      </c>
      <c r="F11">
        <v>65</v>
      </c>
      <c r="G11">
        <v>6</v>
      </c>
      <c r="H11">
        <v>6.5</v>
      </c>
      <c r="I11">
        <v>3</v>
      </c>
      <c r="J11">
        <v>2.6</v>
      </c>
      <c r="L11" s="1">
        <v>45863</v>
      </c>
      <c r="M11">
        <v>1</v>
      </c>
      <c r="N11">
        <v>51</v>
      </c>
      <c r="O11">
        <v>71</v>
      </c>
      <c r="P11">
        <v>6.5</v>
      </c>
      <c r="Q11">
        <v>4.7</v>
      </c>
      <c r="R11">
        <v>3.1</v>
      </c>
      <c r="S11">
        <v>8.3000000000000007</v>
      </c>
      <c r="T11">
        <v>3.2</v>
      </c>
      <c r="U11">
        <v>2.9</v>
      </c>
      <c r="V11">
        <v>2.8</v>
      </c>
      <c r="W11">
        <v>7.3</v>
      </c>
      <c r="X11">
        <v>2</v>
      </c>
      <c r="Y11">
        <v>6.8</v>
      </c>
      <c r="Z11">
        <v>32</v>
      </c>
      <c r="AA11">
        <v>10</v>
      </c>
      <c r="AB11">
        <v>3</v>
      </c>
      <c r="AC11">
        <v>3</v>
      </c>
      <c r="AD11">
        <v>5</v>
      </c>
      <c r="AE11">
        <v>3</v>
      </c>
      <c r="AF11" t="s">
        <v>140</v>
      </c>
    </row>
    <row r="12" spans="1:32" x14ac:dyDescent="0.2">
      <c r="A12" s="1">
        <v>45859</v>
      </c>
      <c r="B12">
        <v>1</v>
      </c>
      <c r="C12">
        <v>2</v>
      </c>
      <c r="D12">
        <v>3</v>
      </c>
      <c r="E12">
        <v>40</v>
      </c>
      <c r="F12">
        <v>70</v>
      </c>
      <c r="G12">
        <v>9</v>
      </c>
      <c r="H12">
        <v>5.0999999999999996</v>
      </c>
      <c r="I12">
        <v>6.2</v>
      </c>
      <c r="J12">
        <v>8</v>
      </c>
      <c r="L12" s="1">
        <v>45863</v>
      </c>
      <c r="M12">
        <v>2</v>
      </c>
      <c r="N12">
        <v>35</v>
      </c>
      <c r="O12">
        <v>62</v>
      </c>
      <c r="P12">
        <v>10.3</v>
      </c>
      <c r="Q12">
        <v>3.7</v>
      </c>
      <c r="R12">
        <v>4.8</v>
      </c>
      <c r="S12">
        <v>6.7</v>
      </c>
      <c r="T12">
        <v>9.6</v>
      </c>
      <c r="U12">
        <v>10.5</v>
      </c>
      <c r="V12">
        <v>5</v>
      </c>
      <c r="W12">
        <v>2.8</v>
      </c>
      <c r="X12">
        <v>2.1</v>
      </c>
      <c r="Y12">
        <v>8.5</v>
      </c>
      <c r="Z12">
        <v>27</v>
      </c>
      <c r="AA12">
        <v>11</v>
      </c>
      <c r="AB12">
        <v>7</v>
      </c>
      <c r="AC12">
        <v>11</v>
      </c>
      <c r="AD12">
        <v>9</v>
      </c>
      <c r="AE12">
        <v>9</v>
      </c>
      <c r="AF12" t="s">
        <v>140</v>
      </c>
    </row>
    <row r="13" spans="1:32" x14ac:dyDescent="0.2">
      <c r="A13" s="1">
        <v>45859</v>
      </c>
      <c r="B13">
        <v>1</v>
      </c>
      <c r="C13">
        <v>3</v>
      </c>
      <c r="D13">
        <v>4</v>
      </c>
      <c r="E13">
        <v>35</v>
      </c>
      <c r="F13">
        <v>70</v>
      </c>
      <c r="G13">
        <v>10.4</v>
      </c>
      <c r="H13">
        <v>5.2</v>
      </c>
      <c r="I13">
        <v>0</v>
      </c>
      <c r="J13">
        <v>9.1</v>
      </c>
      <c r="L13" s="1">
        <v>45863</v>
      </c>
      <c r="M13">
        <v>3</v>
      </c>
      <c r="N13">
        <v>23</v>
      </c>
      <c r="O13">
        <v>46</v>
      </c>
      <c r="P13">
        <v>6.3</v>
      </c>
      <c r="Q13">
        <v>5.5</v>
      </c>
      <c r="R13">
        <v>5.6</v>
      </c>
      <c r="S13">
        <v>7.1</v>
      </c>
      <c r="T13">
        <v>9.1999999999999993</v>
      </c>
      <c r="U13">
        <v>8.6999999999999993</v>
      </c>
      <c r="V13">
        <v>7.7</v>
      </c>
      <c r="W13">
        <v>7.4</v>
      </c>
      <c r="X13">
        <v>5.6</v>
      </c>
      <c r="Y13">
        <v>4.3</v>
      </c>
      <c r="Z13">
        <v>4</v>
      </c>
      <c r="AA13">
        <v>8</v>
      </c>
      <c r="AB13">
        <v>8</v>
      </c>
      <c r="AC13">
        <v>11</v>
      </c>
      <c r="AD13">
        <v>8</v>
      </c>
      <c r="AF13" t="s">
        <v>140</v>
      </c>
    </row>
    <row r="14" spans="1:32" x14ac:dyDescent="0.2">
      <c r="A14" s="1">
        <v>45859</v>
      </c>
      <c r="B14">
        <v>2</v>
      </c>
      <c r="C14">
        <v>1</v>
      </c>
      <c r="D14">
        <v>5</v>
      </c>
      <c r="E14">
        <v>40</v>
      </c>
      <c r="F14">
        <v>80</v>
      </c>
      <c r="G14">
        <v>11.7</v>
      </c>
      <c r="H14">
        <v>5.4</v>
      </c>
      <c r="I14">
        <v>6.1</v>
      </c>
      <c r="J14">
        <v>9.3000000000000007</v>
      </c>
      <c r="L14" s="1">
        <v>45863</v>
      </c>
      <c r="M14">
        <v>4</v>
      </c>
      <c r="N14">
        <v>33</v>
      </c>
      <c r="O14">
        <v>39</v>
      </c>
      <c r="P14">
        <v>7.6</v>
      </c>
      <c r="Q14">
        <v>10.5</v>
      </c>
      <c r="R14">
        <v>7.5</v>
      </c>
      <c r="S14">
        <v>11</v>
      </c>
      <c r="T14">
        <v>7.2</v>
      </c>
      <c r="U14">
        <v>5.5</v>
      </c>
      <c r="V14">
        <v>6.9</v>
      </c>
      <c r="W14">
        <v>2.4</v>
      </c>
      <c r="X14">
        <v>11.4</v>
      </c>
      <c r="Y14">
        <v>6.6</v>
      </c>
      <c r="Z14">
        <v>0</v>
      </c>
      <c r="AF14" t="s">
        <v>140</v>
      </c>
    </row>
    <row r="15" spans="1:32" x14ac:dyDescent="0.2">
      <c r="A15" s="1">
        <v>45859</v>
      </c>
      <c r="B15">
        <v>2</v>
      </c>
      <c r="C15">
        <v>2</v>
      </c>
      <c r="D15">
        <v>5</v>
      </c>
      <c r="E15">
        <v>30</v>
      </c>
      <c r="F15">
        <v>70</v>
      </c>
      <c r="G15">
        <v>13</v>
      </c>
      <c r="H15">
        <v>5.8</v>
      </c>
      <c r="I15">
        <v>7.2</v>
      </c>
      <c r="J15">
        <v>4.2</v>
      </c>
      <c r="L15" s="1">
        <v>45863</v>
      </c>
      <c r="M15">
        <v>5</v>
      </c>
      <c r="N15">
        <v>35</v>
      </c>
      <c r="O15">
        <v>76</v>
      </c>
      <c r="P15">
        <v>4.8</v>
      </c>
      <c r="Q15">
        <v>9.5</v>
      </c>
      <c r="R15">
        <v>3.1</v>
      </c>
      <c r="S15">
        <v>10.199999999999999</v>
      </c>
      <c r="T15">
        <v>8.4</v>
      </c>
      <c r="U15">
        <v>4.2</v>
      </c>
      <c r="V15">
        <v>9.4</v>
      </c>
      <c r="W15">
        <v>8.6</v>
      </c>
      <c r="X15">
        <v>6.5</v>
      </c>
      <c r="Y15">
        <v>11</v>
      </c>
      <c r="Z15">
        <v>74</v>
      </c>
      <c r="AA15">
        <v>8</v>
      </c>
      <c r="AB15">
        <v>6</v>
      </c>
      <c r="AC15">
        <v>7</v>
      </c>
      <c r="AD15">
        <v>4</v>
      </c>
      <c r="AE15">
        <v>5</v>
      </c>
      <c r="AF15" t="s">
        <v>140</v>
      </c>
    </row>
    <row r="16" spans="1:32" x14ac:dyDescent="0.2">
      <c r="A16" s="1">
        <v>45859</v>
      </c>
      <c r="B16">
        <v>2</v>
      </c>
      <c r="C16">
        <v>3</v>
      </c>
      <c r="D16">
        <v>2</v>
      </c>
      <c r="E16">
        <v>50</v>
      </c>
      <c r="F16">
        <v>100</v>
      </c>
      <c r="G16">
        <v>9.3000000000000007</v>
      </c>
      <c r="H16">
        <v>3.4</v>
      </c>
      <c r="I16">
        <v>3</v>
      </c>
      <c r="J16">
        <v>0</v>
      </c>
      <c r="L16" s="1">
        <v>45863</v>
      </c>
      <c r="M16">
        <v>6</v>
      </c>
      <c r="N16">
        <v>30</v>
      </c>
      <c r="O16">
        <v>51</v>
      </c>
      <c r="P16">
        <v>7.2</v>
      </c>
      <c r="Q16">
        <v>11.2</v>
      </c>
      <c r="R16">
        <v>7.3</v>
      </c>
      <c r="S16">
        <v>6.7</v>
      </c>
      <c r="T16">
        <v>6</v>
      </c>
      <c r="U16">
        <v>4.3</v>
      </c>
      <c r="V16">
        <v>4.2</v>
      </c>
      <c r="W16">
        <v>7.9</v>
      </c>
      <c r="X16">
        <v>9.1</v>
      </c>
      <c r="Y16">
        <v>3.1</v>
      </c>
      <c r="Z16">
        <v>38</v>
      </c>
      <c r="AA16">
        <v>8</v>
      </c>
      <c r="AB16">
        <v>5</v>
      </c>
      <c r="AC16">
        <v>3</v>
      </c>
      <c r="AD16">
        <v>6</v>
      </c>
      <c r="AE16">
        <v>8</v>
      </c>
      <c r="AF16" t="s">
        <v>140</v>
      </c>
    </row>
    <row r="17" spans="1:32" x14ac:dyDescent="0.2">
      <c r="A17" s="1">
        <v>45859</v>
      </c>
      <c r="B17">
        <v>3</v>
      </c>
      <c r="C17">
        <v>1</v>
      </c>
      <c r="D17">
        <v>1</v>
      </c>
      <c r="E17">
        <v>10</v>
      </c>
      <c r="F17">
        <v>10</v>
      </c>
      <c r="G17">
        <v>5.9</v>
      </c>
      <c r="H17">
        <v>0</v>
      </c>
      <c r="I17">
        <v>0</v>
      </c>
      <c r="J17">
        <v>0</v>
      </c>
      <c r="L17" s="1">
        <v>45863</v>
      </c>
      <c r="M17">
        <v>7</v>
      </c>
      <c r="N17">
        <v>43</v>
      </c>
      <c r="O17">
        <v>47</v>
      </c>
      <c r="P17">
        <v>5.2</v>
      </c>
      <c r="Q17">
        <v>8.4</v>
      </c>
      <c r="R17">
        <v>8.6999999999999993</v>
      </c>
      <c r="S17">
        <v>5.9</v>
      </c>
      <c r="T17">
        <v>4.2</v>
      </c>
      <c r="U17">
        <v>10.7</v>
      </c>
      <c r="V17">
        <v>7.3</v>
      </c>
      <c r="W17">
        <v>6.5</v>
      </c>
      <c r="X17">
        <v>4</v>
      </c>
      <c r="Y17">
        <v>6.2</v>
      </c>
      <c r="Z17">
        <v>14</v>
      </c>
      <c r="AA17">
        <v>8</v>
      </c>
      <c r="AB17">
        <v>4</v>
      </c>
      <c r="AC17">
        <v>12</v>
      </c>
      <c r="AD17">
        <v>7</v>
      </c>
      <c r="AE17">
        <v>4</v>
      </c>
      <c r="AF17" t="s">
        <v>140</v>
      </c>
    </row>
    <row r="18" spans="1:32" x14ac:dyDescent="0.2">
      <c r="A18" s="1">
        <v>45859</v>
      </c>
      <c r="B18">
        <v>3</v>
      </c>
      <c r="C18">
        <v>2</v>
      </c>
      <c r="D18">
        <v>4</v>
      </c>
      <c r="E18">
        <v>50</v>
      </c>
      <c r="F18">
        <v>90</v>
      </c>
      <c r="G18">
        <v>9.5</v>
      </c>
      <c r="H18">
        <v>6.2</v>
      </c>
      <c r="I18">
        <v>9.4</v>
      </c>
      <c r="J18">
        <v>5.6</v>
      </c>
      <c r="L18" s="1">
        <v>45863</v>
      </c>
      <c r="M18">
        <v>8</v>
      </c>
      <c r="N18">
        <v>41</v>
      </c>
      <c r="O18">
        <v>40</v>
      </c>
      <c r="P18">
        <v>6.9</v>
      </c>
      <c r="Q18">
        <v>6.5</v>
      </c>
      <c r="R18">
        <v>5.4</v>
      </c>
      <c r="S18">
        <v>4.7</v>
      </c>
      <c r="T18">
        <v>7.9</v>
      </c>
      <c r="U18">
        <v>7</v>
      </c>
      <c r="V18">
        <v>4.9000000000000004</v>
      </c>
      <c r="W18">
        <v>6.4</v>
      </c>
      <c r="X18">
        <v>8.5</v>
      </c>
      <c r="Y18">
        <v>7.3</v>
      </c>
      <c r="Z18">
        <v>2</v>
      </c>
      <c r="AA18">
        <v>6</v>
      </c>
      <c r="AB18">
        <v>4</v>
      </c>
      <c r="AF18" t="s">
        <v>140</v>
      </c>
    </row>
    <row r="19" spans="1:32" x14ac:dyDescent="0.2">
      <c r="A19" s="1">
        <v>45859</v>
      </c>
      <c r="B19">
        <v>3</v>
      </c>
      <c r="C19">
        <v>3</v>
      </c>
      <c r="D19">
        <v>1</v>
      </c>
      <c r="E19">
        <v>3</v>
      </c>
      <c r="F19">
        <v>3</v>
      </c>
      <c r="G19">
        <v>3.8</v>
      </c>
      <c r="H19">
        <v>0</v>
      </c>
      <c r="I19">
        <v>0</v>
      </c>
      <c r="J19">
        <v>0</v>
      </c>
      <c r="L19" s="1">
        <v>45863</v>
      </c>
      <c r="M19">
        <v>9</v>
      </c>
      <c r="N19">
        <v>24</v>
      </c>
      <c r="O19">
        <v>37</v>
      </c>
      <c r="P19">
        <v>5.8</v>
      </c>
      <c r="Q19">
        <v>4.0999999999999996</v>
      </c>
      <c r="R19">
        <v>6</v>
      </c>
      <c r="S19">
        <v>10.199999999999999</v>
      </c>
      <c r="T19">
        <v>3.5</v>
      </c>
      <c r="U19">
        <v>3.9</v>
      </c>
      <c r="V19">
        <v>7.2</v>
      </c>
      <c r="W19">
        <v>9.1</v>
      </c>
      <c r="X19">
        <v>8.9</v>
      </c>
      <c r="Y19">
        <v>5.3</v>
      </c>
      <c r="Z19">
        <v>3</v>
      </c>
      <c r="AA19">
        <v>9</v>
      </c>
      <c r="AB19">
        <v>6</v>
      </c>
      <c r="AC19">
        <v>10</v>
      </c>
      <c r="AF19" t="s">
        <v>140</v>
      </c>
    </row>
    <row r="20" spans="1:32" x14ac:dyDescent="0.2">
      <c r="A20" s="1">
        <v>45859</v>
      </c>
      <c r="B20">
        <v>4</v>
      </c>
      <c r="C20">
        <v>1</v>
      </c>
      <c r="D20">
        <v>2</v>
      </c>
      <c r="E20">
        <v>15</v>
      </c>
      <c r="F20">
        <v>60</v>
      </c>
      <c r="G20">
        <v>9.8000000000000007</v>
      </c>
      <c r="H20">
        <v>7.6</v>
      </c>
      <c r="I20">
        <v>3.8</v>
      </c>
      <c r="J20">
        <v>4.4000000000000004</v>
      </c>
      <c r="L20" s="1">
        <v>45863</v>
      </c>
      <c r="M20">
        <v>10</v>
      </c>
      <c r="N20">
        <v>41</v>
      </c>
      <c r="O20">
        <v>39</v>
      </c>
      <c r="P20">
        <v>10.5</v>
      </c>
      <c r="Q20">
        <v>6.2</v>
      </c>
      <c r="R20">
        <v>2.1</v>
      </c>
      <c r="S20">
        <v>2.9</v>
      </c>
      <c r="T20">
        <v>6.1</v>
      </c>
      <c r="U20">
        <v>4.2</v>
      </c>
      <c r="V20">
        <v>7</v>
      </c>
      <c r="W20">
        <v>4.7</v>
      </c>
      <c r="X20">
        <v>8.6</v>
      </c>
      <c r="Y20">
        <v>7.1</v>
      </c>
      <c r="Z20">
        <v>5</v>
      </c>
      <c r="AA20">
        <v>7</v>
      </c>
      <c r="AB20">
        <v>13</v>
      </c>
      <c r="AC20">
        <v>13</v>
      </c>
      <c r="AD20">
        <v>9</v>
      </c>
      <c r="AE20">
        <v>5</v>
      </c>
      <c r="AF20" t="s">
        <v>140</v>
      </c>
    </row>
    <row r="21" spans="1:32" x14ac:dyDescent="0.2">
      <c r="A21" s="1">
        <v>45859</v>
      </c>
      <c r="B21">
        <v>4</v>
      </c>
      <c r="C21">
        <v>2</v>
      </c>
      <c r="D21">
        <v>1</v>
      </c>
      <c r="E21">
        <v>20</v>
      </c>
      <c r="F21">
        <v>30</v>
      </c>
      <c r="G21">
        <v>10.5</v>
      </c>
      <c r="H21">
        <v>5</v>
      </c>
      <c r="I21">
        <v>0</v>
      </c>
      <c r="J21">
        <v>3</v>
      </c>
      <c r="L21" s="1">
        <v>45863</v>
      </c>
      <c r="M21">
        <v>11</v>
      </c>
      <c r="N21">
        <v>62</v>
      </c>
      <c r="O21">
        <v>47</v>
      </c>
      <c r="P21">
        <v>9.8000000000000007</v>
      </c>
      <c r="Q21">
        <v>6.4</v>
      </c>
      <c r="R21">
        <v>4.3</v>
      </c>
      <c r="S21">
        <v>6.5</v>
      </c>
      <c r="T21">
        <v>4.3</v>
      </c>
      <c r="U21">
        <v>8.1</v>
      </c>
      <c r="V21">
        <v>6</v>
      </c>
      <c r="W21">
        <v>3.5</v>
      </c>
      <c r="X21">
        <v>10</v>
      </c>
      <c r="Z21">
        <v>0</v>
      </c>
      <c r="AA21">
        <v>0</v>
      </c>
      <c r="AF21" t="s">
        <v>140</v>
      </c>
    </row>
    <row r="22" spans="1:32" x14ac:dyDescent="0.2">
      <c r="A22" s="1">
        <v>45859</v>
      </c>
      <c r="B22">
        <v>4</v>
      </c>
      <c r="C22">
        <v>3</v>
      </c>
      <c r="D22">
        <v>1</v>
      </c>
      <c r="E22">
        <v>5</v>
      </c>
      <c r="F22">
        <v>15</v>
      </c>
      <c r="G22">
        <v>5.6</v>
      </c>
      <c r="H22">
        <v>0</v>
      </c>
      <c r="I22">
        <v>4.4000000000000004</v>
      </c>
      <c r="J22">
        <v>0</v>
      </c>
      <c r="L22" s="1">
        <v>45863</v>
      </c>
      <c r="M22">
        <v>12</v>
      </c>
      <c r="N22">
        <v>4</v>
      </c>
      <c r="O22">
        <v>8</v>
      </c>
      <c r="P22">
        <v>9.9</v>
      </c>
      <c r="Q22">
        <v>8.5</v>
      </c>
      <c r="R22">
        <v>5.3</v>
      </c>
      <c r="S22">
        <v>3.6</v>
      </c>
      <c r="T22">
        <v>9.1</v>
      </c>
      <c r="U22">
        <v>9.1999999999999993</v>
      </c>
      <c r="V22">
        <v>9.5</v>
      </c>
      <c r="W22">
        <v>8.1</v>
      </c>
      <c r="X22">
        <v>4.4000000000000004</v>
      </c>
      <c r="Y22">
        <v>2.5</v>
      </c>
      <c r="Z22">
        <v>1</v>
      </c>
      <c r="AA22">
        <v>6</v>
      </c>
      <c r="AF22" t="s">
        <v>140</v>
      </c>
    </row>
    <row r="23" spans="1:32" x14ac:dyDescent="0.2">
      <c r="A23" s="1">
        <v>45859</v>
      </c>
      <c r="B23">
        <v>5</v>
      </c>
      <c r="C23">
        <v>1</v>
      </c>
      <c r="D23">
        <v>3</v>
      </c>
      <c r="E23">
        <v>25</v>
      </c>
      <c r="F23">
        <v>80</v>
      </c>
      <c r="G23">
        <v>13</v>
      </c>
      <c r="H23">
        <v>0</v>
      </c>
      <c r="I23">
        <v>8.1</v>
      </c>
      <c r="J23">
        <v>3.5</v>
      </c>
      <c r="L23" s="1">
        <v>45863</v>
      </c>
      <c r="M23">
        <v>13</v>
      </c>
      <c r="N23">
        <v>16</v>
      </c>
      <c r="O23">
        <v>18</v>
      </c>
      <c r="P23">
        <v>5.6</v>
      </c>
      <c r="Q23">
        <v>6.8</v>
      </c>
      <c r="R23">
        <v>7.2</v>
      </c>
      <c r="S23">
        <v>10.199999999999999</v>
      </c>
      <c r="T23">
        <v>8.9</v>
      </c>
      <c r="U23">
        <v>11</v>
      </c>
      <c r="V23">
        <v>5.2</v>
      </c>
      <c r="W23">
        <v>6.7</v>
      </c>
      <c r="X23">
        <v>5.0999999999999996</v>
      </c>
      <c r="Y23">
        <v>7.5</v>
      </c>
      <c r="Z23">
        <v>7</v>
      </c>
      <c r="AA23">
        <v>5</v>
      </c>
      <c r="AB23">
        <v>4</v>
      </c>
      <c r="AC23">
        <v>7</v>
      </c>
      <c r="AD23">
        <v>4</v>
      </c>
      <c r="AE23">
        <v>8</v>
      </c>
      <c r="AF23" t="s">
        <v>140</v>
      </c>
    </row>
    <row r="24" spans="1:32" x14ac:dyDescent="0.2">
      <c r="A24" s="1">
        <v>45859</v>
      </c>
      <c r="B24">
        <v>5</v>
      </c>
      <c r="C24">
        <v>2</v>
      </c>
      <c r="D24">
        <v>3</v>
      </c>
      <c r="E24">
        <v>50</v>
      </c>
      <c r="F24">
        <v>85</v>
      </c>
      <c r="G24">
        <v>7.4</v>
      </c>
      <c r="H24">
        <v>5.2</v>
      </c>
      <c r="I24">
        <v>7.2</v>
      </c>
      <c r="J24">
        <v>3.1</v>
      </c>
      <c r="L24" s="1">
        <v>45863</v>
      </c>
      <c r="M24">
        <v>14</v>
      </c>
      <c r="N24">
        <v>12</v>
      </c>
      <c r="O24">
        <v>20</v>
      </c>
      <c r="P24">
        <v>11.3</v>
      </c>
      <c r="Q24">
        <v>4.8</v>
      </c>
      <c r="R24">
        <v>4.3</v>
      </c>
      <c r="S24">
        <v>6.4</v>
      </c>
      <c r="T24">
        <v>5.6</v>
      </c>
      <c r="U24">
        <v>7.2</v>
      </c>
      <c r="V24">
        <v>4.5999999999999996</v>
      </c>
      <c r="W24">
        <v>6.7</v>
      </c>
      <c r="X24">
        <v>5.0999999999999996</v>
      </c>
      <c r="Y24">
        <v>7.2</v>
      </c>
      <c r="Z24">
        <v>19</v>
      </c>
      <c r="AA24">
        <v>8</v>
      </c>
      <c r="AB24">
        <v>10</v>
      </c>
      <c r="AC24">
        <v>7</v>
      </c>
      <c r="AD24">
        <v>5</v>
      </c>
      <c r="AE24">
        <v>6</v>
      </c>
      <c r="AF24" t="s">
        <v>140</v>
      </c>
    </row>
    <row r="25" spans="1:32" x14ac:dyDescent="0.2">
      <c r="A25" s="1">
        <v>45859</v>
      </c>
      <c r="B25">
        <v>5</v>
      </c>
      <c r="C25">
        <v>3</v>
      </c>
      <c r="D25">
        <v>2</v>
      </c>
      <c r="E25">
        <v>20</v>
      </c>
      <c r="F25">
        <v>60</v>
      </c>
      <c r="G25">
        <v>12.9</v>
      </c>
      <c r="H25">
        <v>5.0999999999999996</v>
      </c>
      <c r="I25">
        <v>4.2</v>
      </c>
      <c r="J25">
        <v>2.2999999999999998</v>
      </c>
      <c r="L25" s="1">
        <v>45863</v>
      </c>
      <c r="M25">
        <v>15</v>
      </c>
      <c r="N25">
        <v>22</v>
      </c>
      <c r="O25">
        <v>22</v>
      </c>
      <c r="P25">
        <v>7.5</v>
      </c>
      <c r="Q25">
        <v>6.9</v>
      </c>
      <c r="R25">
        <v>5</v>
      </c>
      <c r="S25">
        <v>5.5</v>
      </c>
      <c r="T25">
        <v>5.7</v>
      </c>
      <c r="U25">
        <v>8.4</v>
      </c>
      <c r="V25">
        <v>4</v>
      </c>
      <c r="W25">
        <v>5.0999999999999996</v>
      </c>
      <c r="X25">
        <v>4.2</v>
      </c>
      <c r="Y25">
        <v>7.9</v>
      </c>
      <c r="Z25">
        <v>12</v>
      </c>
      <c r="AA25">
        <v>6</v>
      </c>
      <c r="AB25">
        <v>6</v>
      </c>
      <c r="AC25">
        <v>6</v>
      </c>
      <c r="AD25">
        <v>9</v>
      </c>
      <c r="AE25">
        <v>11</v>
      </c>
      <c r="AF25" t="s">
        <v>140</v>
      </c>
    </row>
    <row r="26" spans="1:32" x14ac:dyDescent="0.2">
      <c r="A26" s="1">
        <v>45859</v>
      </c>
      <c r="B26">
        <v>6</v>
      </c>
      <c r="C26">
        <v>1</v>
      </c>
      <c r="D26">
        <v>4</v>
      </c>
      <c r="E26">
        <v>30</v>
      </c>
      <c r="F26">
        <v>90</v>
      </c>
      <c r="G26">
        <v>7.6</v>
      </c>
      <c r="H26">
        <v>3.5</v>
      </c>
      <c r="I26">
        <v>1.3</v>
      </c>
      <c r="J26">
        <v>3.7</v>
      </c>
      <c r="L26" s="1">
        <v>45863</v>
      </c>
      <c r="M26">
        <v>16</v>
      </c>
      <c r="N26">
        <v>15</v>
      </c>
      <c r="O26">
        <v>27</v>
      </c>
      <c r="P26">
        <v>3.4</v>
      </c>
      <c r="Q26">
        <v>4</v>
      </c>
      <c r="R26">
        <v>3.1</v>
      </c>
      <c r="S26">
        <v>6.9</v>
      </c>
      <c r="T26">
        <v>6.1</v>
      </c>
      <c r="U26">
        <v>6.9</v>
      </c>
      <c r="V26">
        <v>3.1</v>
      </c>
      <c r="W26">
        <v>4.0999999999999996</v>
      </c>
      <c r="X26">
        <v>5.8</v>
      </c>
      <c r="Z26">
        <v>7</v>
      </c>
      <c r="AA26">
        <v>10</v>
      </c>
      <c r="AB26">
        <v>5</v>
      </c>
      <c r="AC26">
        <v>4</v>
      </c>
      <c r="AD26">
        <v>8</v>
      </c>
      <c r="AE26">
        <v>5</v>
      </c>
      <c r="AF26" t="s">
        <v>140</v>
      </c>
    </row>
    <row r="27" spans="1:32" x14ac:dyDescent="0.2">
      <c r="A27" s="1">
        <v>45859</v>
      </c>
      <c r="B27">
        <v>6</v>
      </c>
      <c r="C27">
        <v>2</v>
      </c>
      <c r="D27">
        <v>2</v>
      </c>
      <c r="E27">
        <v>10</v>
      </c>
      <c r="F27">
        <v>40</v>
      </c>
      <c r="G27">
        <v>6.7</v>
      </c>
      <c r="H27">
        <v>1.9</v>
      </c>
      <c r="I27">
        <v>2</v>
      </c>
      <c r="J27">
        <v>1.6</v>
      </c>
      <c r="L27" s="1">
        <v>45863</v>
      </c>
      <c r="M27">
        <v>17</v>
      </c>
      <c r="N27">
        <v>27</v>
      </c>
      <c r="O27">
        <v>42</v>
      </c>
      <c r="P27">
        <v>7.5</v>
      </c>
      <c r="Q27">
        <v>6.4</v>
      </c>
      <c r="R27">
        <v>3.3</v>
      </c>
      <c r="S27">
        <v>5</v>
      </c>
      <c r="T27">
        <v>6.1</v>
      </c>
      <c r="U27">
        <v>8.8000000000000007</v>
      </c>
      <c r="V27">
        <v>4.0999999999999996</v>
      </c>
      <c r="W27">
        <v>6.1</v>
      </c>
      <c r="X27">
        <v>7.7</v>
      </c>
      <c r="Y27">
        <v>6.2</v>
      </c>
      <c r="Z27">
        <v>4</v>
      </c>
      <c r="AA27">
        <v>8</v>
      </c>
      <c r="AB27">
        <v>7</v>
      </c>
      <c r="AC27">
        <v>6</v>
      </c>
      <c r="AD27">
        <v>5</v>
      </c>
      <c r="AF27" t="s">
        <v>140</v>
      </c>
    </row>
    <row r="28" spans="1:32" x14ac:dyDescent="0.2">
      <c r="A28" s="1">
        <v>45859</v>
      </c>
      <c r="B28">
        <v>6</v>
      </c>
      <c r="C28">
        <v>3</v>
      </c>
      <c r="D28">
        <v>10</v>
      </c>
      <c r="E28">
        <v>80</v>
      </c>
      <c r="F28">
        <v>100</v>
      </c>
      <c r="G28">
        <v>16.5</v>
      </c>
      <c r="H28">
        <v>6.3</v>
      </c>
      <c r="I28">
        <v>9</v>
      </c>
      <c r="J28">
        <v>10.4</v>
      </c>
      <c r="L28" s="1">
        <v>45863</v>
      </c>
      <c r="M28">
        <v>18</v>
      </c>
      <c r="N28">
        <v>24</v>
      </c>
      <c r="O28">
        <v>25</v>
      </c>
      <c r="P28">
        <v>4.0999999999999996</v>
      </c>
      <c r="Q28">
        <v>7.2</v>
      </c>
      <c r="R28">
        <v>11.1</v>
      </c>
      <c r="S28">
        <v>3.6</v>
      </c>
      <c r="T28">
        <v>3.6</v>
      </c>
      <c r="U28">
        <v>2.5</v>
      </c>
      <c r="V28">
        <v>6.5</v>
      </c>
      <c r="W28">
        <v>6</v>
      </c>
      <c r="X28">
        <v>7.7</v>
      </c>
      <c r="Y28">
        <v>3.6</v>
      </c>
      <c r="Z28">
        <v>4</v>
      </c>
      <c r="AA28">
        <v>6</v>
      </c>
      <c r="AB28">
        <v>6</v>
      </c>
      <c r="AC28">
        <v>6</v>
      </c>
      <c r="AD28">
        <v>4</v>
      </c>
      <c r="AF28" t="s">
        <v>140</v>
      </c>
    </row>
    <row r="29" spans="1:32" x14ac:dyDescent="0.2">
      <c r="A29" s="1">
        <v>45859</v>
      </c>
      <c r="B29">
        <v>7</v>
      </c>
      <c r="C29">
        <v>1</v>
      </c>
      <c r="D29">
        <v>2</v>
      </c>
      <c r="E29">
        <v>40</v>
      </c>
      <c r="F29">
        <v>50</v>
      </c>
      <c r="G29">
        <v>16.399999999999999</v>
      </c>
      <c r="H29">
        <v>4</v>
      </c>
      <c r="I29">
        <v>3.6</v>
      </c>
      <c r="J29">
        <v>3.9</v>
      </c>
      <c r="L29" s="1">
        <v>45863</v>
      </c>
      <c r="M29">
        <v>19</v>
      </c>
      <c r="N29">
        <v>9</v>
      </c>
      <c r="O29">
        <v>4</v>
      </c>
      <c r="P29">
        <v>9</v>
      </c>
      <c r="Q29">
        <v>7.9</v>
      </c>
      <c r="R29">
        <v>9.1999999999999993</v>
      </c>
      <c r="S29">
        <v>7.8</v>
      </c>
      <c r="T29">
        <v>9.6</v>
      </c>
      <c r="U29">
        <v>5.2</v>
      </c>
      <c r="V29">
        <v>7.3</v>
      </c>
      <c r="W29">
        <v>7</v>
      </c>
      <c r="X29">
        <v>3.1</v>
      </c>
      <c r="Y29">
        <v>8</v>
      </c>
      <c r="Z29">
        <v>11</v>
      </c>
      <c r="AA29">
        <v>6</v>
      </c>
      <c r="AB29">
        <v>7</v>
      </c>
      <c r="AC29">
        <v>8</v>
      </c>
      <c r="AD29">
        <v>11</v>
      </c>
      <c r="AE29">
        <v>2</v>
      </c>
      <c r="AF29" t="s">
        <v>140</v>
      </c>
    </row>
    <row r="30" spans="1:32" x14ac:dyDescent="0.2">
      <c r="A30" s="1">
        <v>45859</v>
      </c>
      <c r="B30">
        <v>7</v>
      </c>
      <c r="C30">
        <v>2</v>
      </c>
      <c r="D30">
        <v>5</v>
      </c>
      <c r="E30">
        <v>50</v>
      </c>
      <c r="F30">
        <v>80</v>
      </c>
      <c r="G30">
        <v>13.7</v>
      </c>
      <c r="H30">
        <v>13</v>
      </c>
      <c r="I30">
        <v>0</v>
      </c>
      <c r="J30">
        <v>0</v>
      </c>
      <c r="L30" s="1">
        <v>45866</v>
      </c>
      <c r="M30">
        <v>20</v>
      </c>
      <c r="N30">
        <v>25</v>
      </c>
      <c r="O30">
        <v>30</v>
      </c>
      <c r="P30">
        <v>6.2</v>
      </c>
      <c r="Q30">
        <v>8</v>
      </c>
      <c r="R30">
        <v>4.5</v>
      </c>
      <c r="S30">
        <v>5</v>
      </c>
      <c r="T30">
        <v>5</v>
      </c>
      <c r="U30">
        <v>4.4000000000000004</v>
      </c>
      <c r="V30">
        <v>5.4</v>
      </c>
      <c r="W30">
        <v>5.9</v>
      </c>
      <c r="X30">
        <v>6</v>
      </c>
      <c r="Y30">
        <v>4.3</v>
      </c>
      <c r="Z30">
        <v>14</v>
      </c>
      <c r="AA30">
        <v>6</v>
      </c>
      <c r="AB30">
        <v>2</v>
      </c>
      <c r="AC30">
        <v>3</v>
      </c>
      <c r="AD30">
        <v>4</v>
      </c>
      <c r="AE30">
        <v>4</v>
      </c>
    </row>
    <row r="31" spans="1:32" x14ac:dyDescent="0.2">
      <c r="A31" s="1">
        <v>45859</v>
      </c>
      <c r="B31">
        <v>7</v>
      </c>
      <c r="C31">
        <v>3</v>
      </c>
      <c r="D31">
        <v>4</v>
      </c>
      <c r="E31">
        <v>20</v>
      </c>
      <c r="F31">
        <v>50</v>
      </c>
      <c r="G31">
        <v>11.5</v>
      </c>
      <c r="H31">
        <v>2.1</v>
      </c>
      <c r="I31">
        <v>3.3</v>
      </c>
      <c r="J31">
        <v>0</v>
      </c>
      <c r="L31" s="1">
        <v>45866</v>
      </c>
      <c r="M31">
        <v>21</v>
      </c>
      <c r="N31">
        <v>30</v>
      </c>
      <c r="O31">
        <v>43</v>
      </c>
      <c r="P31">
        <v>4.5999999999999996</v>
      </c>
      <c r="Q31">
        <v>4.9000000000000004</v>
      </c>
      <c r="R31">
        <v>3.9</v>
      </c>
      <c r="S31">
        <v>4.8</v>
      </c>
      <c r="T31">
        <v>6.6</v>
      </c>
      <c r="U31">
        <v>4.8</v>
      </c>
      <c r="V31">
        <v>2.9</v>
      </c>
      <c r="W31">
        <v>4.9000000000000004</v>
      </c>
      <c r="X31">
        <v>3.6</v>
      </c>
      <c r="Y31">
        <v>3.3</v>
      </c>
      <c r="Z31">
        <v>7</v>
      </c>
      <c r="AA31">
        <v>6</v>
      </c>
      <c r="AB31">
        <v>7</v>
      </c>
      <c r="AC31">
        <v>4</v>
      </c>
      <c r="AD31">
        <v>9</v>
      </c>
      <c r="AE31">
        <v>8</v>
      </c>
    </row>
    <row r="32" spans="1:32" x14ac:dyDescent="0.2">
      <c r="A32" s="1">
        <v>45859</v>
      </c>
      <c r="B32">
        <v>8</v>
      </c>
      <c r="C32">
        <v>1</v>
      </c>
      <c r="D32">
        <v>5</v>
      </c>
      <c r="E32">
        <v>70</v>
      </c>
      <c r="F32">
        <v>90</v>
      </c>
      <c r="G32">
        <v>15.5</v>
      </c>
      <c r="H32">
        <v>10</v>
      </c>
      <c r="I32">
        <v>9</v>
      </c>
      <c r="J32">
        <v>6.9</v>
      </c>
      <c r="L32" s="1">
        <v>45866</v>
      </c>
      <c r="M32">
        <v>22</v>
      </c>
      <c r="N32">
        <v>6</v>
      </c>
      <c r="O32">
        <v>6</v>
      </c>
      <c r="P32">
        <v>9.5</v>
      </c>
      <c r="Q32">
        <v>9</v>
      </c>
      <c r="R32">
        <v>5.6</v>
      </c>
      <c r="S32">
        <v>6.6</v>
      </c>
      <c r="T32">
        <v>8.4</v>
      </c>
      <c r="U32">
        <v>3.4</v>
      </c>
      <c r="V32">
        <v>6.9</v>
      </c>
      <c r="W32">
        <v>3.5</v>
      </c>
      <c r="X32">
        <v>4.7</v>
      </c>
      <c r="Y32">
        <v>3.1</v>
      </c>
      <c r="Z32">
        <v>1</v>
      </c>
      <c r="AA32">
        <v>9</v>
      </c>
    </row>
    <row r="33" spans="1:31" x14ac:dyDescent="0.2">
      <c r="A33" s="1">
        <v>45859</v>
      </c>
      <c r="B33">
        <v>8</v>
      </c>
      <c r="C33">
        <v>2</v>
      </c>
      <c r="D33">
        <v>2</v>
      </c>
      <c r="E33">
        <v>25</v>
      </c>
      <c r="F33">
        <v>40</v>
      </c>
      <c r="G33">
        <v>12.2</v>
      </c>
      <c r="H33">
        <v>3.4</v>
      </c>
      <c r="I33">
        <v>0.8</v>
      </c>
      <c r="J33">
        <v>4.3</v>
      </c>
      <c r="L33" s="1">
        <v>45866</v>
      </c>
      <c r="M33">
        <v>23</v>
      </c>
      <c r="N33">
        <v>26</v>
      </c>
      <c r="O33">
        <v>59</v>
      </c>
      <c r="P33">
        <v>5.8</v>
      </c>
      <c r="Q33">
        <v>9.3000000000000007</v>
      </c>
      <c r="R33">
        <v>6.2</v>
      </c>
      <c r="S33">
        <v>7.3</v>
      </c>
      <c r="T33">
        <v>11.5</v>
      </c>
      <c r="U33">
        <v>10.4</v>
      </c>
      <c r="V33">
        <v>7.8</v>
      </c>
      <c r="W33">
        <v>7.7</v>
      </c>
      <c r="X33">
        <v>7.3</v>
      </c>
      <c r="Y33">
        <v>7.1</v>
      </c>
      <c r="Z33">
        <v>16</v>
      </c>
      <c r="AA33">
        <v>3</v>
      </c>
      <c r="AB33">
        <v>9</v>
      </c>
      <c r="AC33">
        <v>2</v>
      </c>
      <c r="AD33">
        <v>13</v>
      </c>
      <c r="AE33">
        <v>10</v>
      </c>
    </row>
    <row r="34" spans="1:31" x14ac:dyDescent="0.2">
      <c r="A34" s="1">
        <v>45859</v>
      </c>
      <c r="B34">
        <v>8</v>
      </c>
      <c r="C34">
        <v>3</v>
      </c>
      <c r="D34">
        <v>6</v>
      </c>
      <c r="E34">
        <v>70</v>
      </c>
      <c r="F34">
        <v>95</v>
      </c>
      <c r="G34">
        <v>10.7</v>
      </c>
      <c r="H34">
        <v>8.6</v>
      </c>
      <c r="I34">
        <v>4.2</v>
      </c>
      <c r="J34">
        <v>5.5</v>
      </c>
      <c r="L34" s="1">
        <v>45866</v>
      </c>
      <c r="M34">
        <v>24</v>
      </c>
      <c r="N34">
        <v>35</v>
      </c>
      <c r="O34">
        <v>27</v>
      </c>
      <c r="P34">
        <v>5.2</v>
      </c>
      <c r="Q34">
        <v>7.9</v>
      </c>
      <c r="R34">
        <v>6.5</v>
      </c>
      <c r="S34">
        <v>7.3</v>
      </c>
      <c r="T34">
        <v>8.4</v>
      </c>
      <c r="U34">
        <v>7.9</v>
      </c>
      <c r="V34">
        <v>9.8000000000000007</v>
      </c>
      <c r="W34">
        <v>10.1</v>
      </c>
      <c r="X34">
        <v>4.5999999999999996</v>
      </c>
      <c r="Y34">
        <v>3.6</v>
      </c>
      <c r="Z34">
        <v>7</v>
      </c>
      <c r="AA34">
        <v>1</v>
      </c>
      <c r="AB34">
        <v>4</v>
      </c>
      <c r="AC34">
        <v>7</v>
      </c>
      <c r="AD34">
        <v>9</v>
      </c>
      <c r="AE34">
        <v>5</v>
      </c>
    </row>
    <row r="35" spans="1:31" x14ac:dyDescent="0.2">
      <c r="A35" s="1">
        <v>45859</v>
      </c>
      <c r="B35">
        <v>9</v>
      </c>
      <c r="C35">
        <v>1</v>
      </c>
      <c r="D35">
        <v>0</v>
      </c>
      <c r="E35">
        <v>0</v>
      </c>
      <c r="F35">
        <v>50</v>
      </c>
      <c r="G35">
        <v>5.5</v>
      </c>
      <c r="H35">
        <v>4.5</v>
      </c>
      <c r="I35">
        <v>3</v>
      </c>
      <c r="J35">
        <v>4.4000000000000004</v>
      </c>
      <c r="L35" s="1">
        <v>45866</v>
      </c>
      <c r="M35">
        <v>25</v>
      </c>
      <c r="N35">
        <v>33</v>
      </c>
      <c r="O35">
        <v>28</v>
      </c>
      <c r="P35">
        <v>8.1</v>
      </c>
      <c r="Q35">
        <v>4.5</v>
      </c>
      <c r="R35">
        <v>5.3</v>
      </c>
      <c r="S35">
        <v>7.5</v>
      </c>
      <c r="T35">
        <v>6.1</v>
      </c>
      <c r="U35">
        <v>7.3</v>
      </c>
      <c r="V35">
        <v>6.6</v>
      </c>
      <c r="W35">
        <v>6.3</v>
      </c>
      <c r="X35">
        <v>2.9</v>
      </c>
      <c r="Y35">
        <v>8.8000000000000007</v>
      </c>
      <c r="Z35">
        <v>18</v>
      </c>
      <c r="AA35">
        <v>3</v>
      </c>
      <c r="AB35">
        <v>3</v>
      </c>
      <c r="AC35">
        <v>3</v>
      </c>
      <c r="AD35">
        <v>3</v>
      </c>
      <c r="AE35">
        <v>2</v>
      </c>
    </row>
    <row r="36" spans="1:31" x14ac:dyDescent="0.2">
      <c r="A36" s="1">
        <v>45859</v>
      </c>
      <c r="B36">
        <v>9</v>
      </c>
      <c r="C36">
        <v>2</v>
      </c>
      <c r="D36">
        <v>2</v>
      </c>
      <c r="E36">
        <v>10</v>
      </c>
      <c r="F36">
        <v>15</v>
      </c>
      <c r="G36">
        <v>5.8</v>
      </c>
      <c r="H36">
        <v>0</v>
      </c>
      <c r="I36">
        <v>0</v>
      </c>
      <c r="J36">
        <v>1.3</v>
      </c>
      <c r="L36" s="1">
        <v>45866</v>
      </c>
      <c r="M36">
        <v>26</v>
      </c>
      <c r="N36">
        <v>45</v>
      </c>
      <c r="O36">
        <v>89</v>
      </c>
      <c r="P36">
        <v>8</v>
      </c>
      <c r="Q36">
        <v>8.9</v>
      </c>
      <c r="R36">
        <v>7.5</v>
      </c>
      <c r="S36">
        <v>7.3</v>
      </c>
      <c r="T36">
        <v>10.5</v>
      </c>
      <c r="U36">
        <v>7.2</v>
      </c>
      <c r="V36">
        <v>7.4</v>
      </c>
      <c r="W36">
        <v>4.5</v>
      </c>
      <c r="X36">
        <v>8.3000000000000007</v>
      </c>
      <c r="Y36">
        <v>8.5</v>
      </c>
      <c r="Z36">
        <v>11</v>
      </c>
      <c r="AA36">
        <v>5</v>
      </c>
      <c r="AB36">
        <v>6</v>
      </c>
      <c r="AC36">
        <v>2</v>
      </c>
      <c r="AD36">
        <v>4</v>
      </c>
      <c r="AE36">
        <v>7</v>
      </c>
    </row>
    <row r="37" spans="1:31" x14ac:dyDescent="0.2">
      <c r="A37" s="1">
        <v>45859</v>
      </c>
      <c r="B37">
        <v>9</v>
      </c>
      <c r="C37">
        <v>3</v>
      </c>
      <c r="D37">
        <v>5</v>
      </c>
      <c r="E37">
        <v>50</v>
      </c>
      <c r="F37">
        <v>80</v>
      </c>
      <c r="G37">
        <v>15.3</v>
      </c>
      <c r="H37">
        <v>6.5</v>
      </c>
      <c r="I37">
        <v>7.4</v>
      </c>
      <c r="J37">
        <v>3.9</v>
      </c>
      <c r="L37" s="1">
        <v>45866</v>
      </c>
      <c r="M37">
        <v>27</v>
      </c>
      <c r="N37">
        <v>10</v>
      </c>
      <c r="O37">
        <v>20</v>
      </c>
      <c r="P37">
        <v>7.9</v>
      </c>
      <c r="Q37">
        <v>7.9</v>
      </c>
      <c r="R37">
        <v>4.9000000000000004</v>
      </c>
      <c r="S37">
        <v>2.7</v>
      </c>
      <c r="T37">
        <v>7</v>
      </c>
      <c r="U37">
        <v>4.5</v>
      </c>
      <c r="V37">
        <v>3.5</v>
      </c>
      <c r="W37">
        <v>4.5999999999999996</v>
      </c>
      <c r="X37">
        <v>3.9</v>
      </c>
      <c r="Y37">
        <v>1.7</v>
      </c>
      <c r="Z37">
        <v>14</v>
      </c>
      <c r="AA37">
        <v>7</v>
      </c>
      <c r="AB37">
        <v>7</v>
      </c>
      <c r="AC37">
        <v>2</v>
      </c>
      <c r="AD37">
        <v>4</v>
      </c>
      <c r="AE37">
        <v>5</v>
      </c>
    </row>
    <row r="38" spans="1:31" x14ac:dyDescent="0.2">
      <c r="A38" s="1">
        <v>45859</v>
      </c>
      <c r="B38">
        <v>10</v>
      </c>
      <c r="C38">
        <v>1</v>
      </c>
      <c r="D38">
        <v>4</v>
      </c>
      <c r="E38">
        <v>70</v>
      </c>
      <c r="F38">
        <v>80</v>
      </c>
      <c r="G38">
        <v>8.9</v>
      </c>
      <c r="H38">
        <v>5.9</v>
      </c>
      <c r="I38">
        <v>0</v>
      </c>
      <c r="J38">
        <v>6</v>
      </c>
      <c r="L38" s="1">
        <v>45866</v>
      </c>
      <c r="M38">
        <v>28</v>
      </c>
      <c r="N38">
        <v>32</v>
      </c>
      <c r="O38">
        <v>55</v>
      </c>
      <c r="P38">
        <v>4.5</v>
      </c>
      <c r="Q38">
        <v>6.9</v>
      </c>
      <c r="R38">
        <v>8.1999999999999993</v>
      </c>
      <c r="S38" s="4">
        <v>1.9</v>
      </c>
      <c r="T38">
        <v>6.6</v>
      </c>
      <c r="U38">
        <v>8.6</v>
      </c>
      <c r="V38">
        <v>8.9</v>
      </c>
      <c r="W38">
        <v>3.7</v>
      </c>
      <c r="X38">
        <v>7.3</v>
      </c>
      <c r="Y38">
        <v>6.4</v>
      </c>
      <c r="Z38">
        <v>21</v>
      </c>
      <c r="AA38">
        <v>10</v>
      </c>
      <c r="AB38">
        <v>11</v>
      </c>
      <c r="AC38">
        <v>11</v>
      </c>
      <c r="AD38">
        <v>7</v>
      </c>
      <c r="AE38">
        <v>6</v>
      </c>
    </row>
    <row r="39" spans="1:31" x14ac:dyDescent="0.2">
      <c r="A39" s="1">
        <v>45859</v>
      </c>
      <c r="B39">
        <v>10</v>
      </c>
      <c r="C39">
        <v>2</v>
      </c>
      <c r="D39">
        <v>5</v>
      </c>
      <c r="E39">
        <v>30</v>
      </c>
      <c r="F39">
        <v>70</v>
      </c>
      <c r="G39">
        <v>9.8000000000000007</v>
      </c>
      <c r="H39">
        <v>2.2999999999999998</v>
      </c>
      <c r="I39">
        <v>2.9</v>
      </c>
      <c r="J39">
        <v>4.5999999999999996</v>
      </c>
      <c r="L39" s="1">
        <v>45866</v>
      </c>
      <c r="M39">
        <v>29</v>
      </c>
      <c r="N39">
        <v>19</v>
      </c>
      <c r="O39">
        <v>21</v>
      </c>
      <c r="P39">
        <v>9.1999999999999993</v>
      </c>
      <c r="Q39">
        <v>8.1</v>
      </c>
      <c r="R39">
        <v>8</v>
      </c>
      <c r="S39">
        <v>7.3</v>
      </c>
      <c r="T39">
        <v>6.6</v>
      </c>
      <c r="U39">
        <v>4.0999999999999996</v>
      </c>
      <c r="V39">
        <v>10.7</v>
      </c>
      <c r="W39">
        <v>4.2</v>
      </c>
      <c r="X39">
        <v>7</v>
      </c>
      <c r="Y39">
        <v>9.3000000000000007</v>
      </c>
      <c r="Z39">
        <v>21</v>
      </c>
      <c r="AA39">
        <v>12</v>
      </c>
      <c r="AB39">
        <v>10</v>
      </c>
      <c r="AC39">
        <v>9</v>
      </c>
      <c r="AD39">
        <v>7</v>
      </c>
      <c r="AE39">
        <v>6</v>
      </c>
    </row>
    <row r="40" spans="1:31" x14ac:dyDescent="0.2">
      <c r="A40" s="1">
        <v>45859</v>
      </c>
      <c r="B40">
        <v>10</v>
      </c>
      <c r="C40">
        <v>3</v>
      </c>
      <c r="D40">
        <v>3</v>
      </c>
      <c r="E40">
        <v>80</v>
      </c>
      <c r="F40">
        <v>100</v>
      </c>
      <c r="G40">
        <v>12</v>
      </c>
      <c r="H40">
        <v>7</v>
      </c>
      <c r="I40">
        <v>6</v>
      </c>
      <c r="J40">
        <v>4</v>
      </c>
      <c r="L40" s="1">
        <v>45866</v>
      </c>
      <c r="M40">
        <v>30</v>
      </c>
      <c r="N40">
        <v>21</v>
      </c>
      <c r="O40">
        <v>20</v>
      </c>
      <c r="P40">
        <v>6.8</v>
      </c>
      <c r="Q40">
        <v>5.9</v>
      </c>
      <c r="R40">
        <v>4.8</v>
      </c>
      <c r="S40">
        <v>4.3</v>
      </c>
      <c r="T40">
        <v>6.8</v>
      </c>
      <c r="U40">
        <v>7.1</v>
      </c>
      <c r="V40">
        <v>6.5</v>
      </c>
      <c r="W40">
        <v>4.5</v>
      </c>
      <c r="X40">
        <v>5.6</v>
      </c>
      <c r="Y40">
        <v>6.1</v>
      </c>
      <c r="Z40">
        <v>23</v>
      </c>
      <c r="AA40">
        <v>4</v>
      </c>
      <c r="AB40">
        <v>6</v>
      </c>
      <c r="AC40">
        <v>8</v>
      </c>
      <c r="AD40">
        <v>6</v>
      </c>
      <c r="AE40">
        <v>9</v>
      </c>
    </row>
    <row r="41" spans="1:31" x14ac:dyDescent="0.2">
      <c r="A41" s="1">
        <v>45859</v>
      </c>
      <c r="B41">
        <v>11</v>
      </c>
      <c r="C41">
        <v>1</v>
      </c>
      <c r="D41">
        <v>4</v>
      </c>
      <c r="E41">
        <v>25</v>
      </c>
      <c r="F41">
        <v>30</v>
      </c>
      <c r="G41">
        <v>11.9</v>
      </c>
      <c r="H41">
        <v>4</v>
      </c>
      <c r="I41">
        <v>0</v>
      </c>
      <c r="J41">
        <v>5.6</v>
      </c>
      <c r="L41" s="1">
        <v>45866</v>
      </c>
      <c r="M41">
        <v>31</v>
      </c>
      <c r="N41">
        <v>52</v>
      </c>
      <c r="O41">
        <v>69</v>
      </c>
      <c r="P41">
        <v>4.0999999999999996</v>
      </c>
      <c r="Q41">
        <v>2.9</v>
      </c>
      <c r="R41">
        <v>6.7</v>
      </c>
      <c r="S41">
        <v>4.5999999999999996</v>
      </c>
      <c r="T41">
        <v>5.9</v>
      </c>
      <c r="U41">
        <v>8.1</v>
      </c>
      <c r="V41">
        <v>8.3000000000000007</v>
      </c>
      <c r="W41">
        <v>2.9</v>
      </c>
      <c r="X41">
        <v>8</v>
      </c>
      <c r="Y41">
        <v>5</v>
      </c>
      <c r="Z41">
        <v>26</v>
      </c>
      <c r="AA41">
        <v>6</v>
      </c>
      <c r="AB41">
        <v>4</v>
      </c>
      <c r="AC41">
        <v>8</v>
      </c>
      <c r="AD41">
        <v>5</v>
      </c>
      <c r="AE41">
        <v>10</v>
      </c>
    </row>
    <row r="42" spans="1:31" x14ac:dyDescent="0.2">
      <c r="A42" s="1">
        <v>45859</v>
      </c>
      <c r="B42">
        <v>11</v>
      </c>
      <c r="C42">
        <v>2</v>
      </c>
      <c r="D42">
        <v>3</v>
      </c>
      <c r="E42">
        <v>65</v>
      </c>
      <c r="F42">
        <v>100</v>
      </c>
      <c r="G42">
        <v>18.600000000000001</v>
      </c>
      <c r="H42">
        <v>6.4</v>
      </c>
      <c r="I42">
        <v>3</v>
      </c>
      <c r="J42">
        <v>7.2</v>
      </c>
      <c r="L42" s="1">
        <v>45866</v>
      </c>
      <c r="M42">
        <v>32</v>
      </c>
      <c r="N42">
        <v>9</v>
      </c>
      <c r="O42">
        <v>20</v>
      </c>
      <c r="P42">
        <v>2.9</v>
      </c>
      <c r="Q42">
        <v>5.7</v>
      </c>
      <c r="R42">
        <v>3.4</v>
      </c>
      <c r="S42">
        <v>6.2</v>
      </c>
      <c r="T42">
        <v>5.8</v>
      </c>
      <c r="U42">
        <v>3.9</v>
      </c>
      <c r="V42">
        <v>4.0999999999999996</v>
      </c>
      <c r="W42">
        <v>5</v>
      </c>
      <c r="X42">
        <v>9.1</v>
      </c>
      <c r="Y42">
        <v>5.8</v>
      </c>
      <c r="Z42">
        <v>52</v>
      </c>
      <c r="AA42">
        <v>12</v>
      </c>
      <c r="AB42">
        <v>10</v>
      </c>
      <c r="AC42">
        <v>9</v>
      </c>
      <c r="AD42">
        <v>10</v>
      </c>
      <c r="AE42">
        <v>6</v>
      </c>
    </row>
    <row r="43" spans="1:31" x14ac:dyDescent="0.2">
      <c r="A43" s="1">
        <v>45859</v>
      </c>
      <c r="B43">
        <v>11</v>
      </c>
      <c r="C43">
        <v>3</v>
      </c>
      <c r="D43">
        <v>5</v>
      </c>
      <c r="E43">
        <v>50</v>
      </c>
      <c r="F43">
        <v>80</v>
      </c>
      <c r="G43">
        <v>17.600000000000001</v>
      </c>
      <c r="H43">
        <v>2.2000000000000002</v>
      </c>
      <c r="I43">
        <v>7.8</v>
      </c>
      <c r="J43">
        <v>3.4</v>
      </c>
      <c r="L43" s="1">
        <v>45866</v>
      </c>
      <c r="M43">
        <v>33</v>
      </c>
      <c r="N43">
        <v>2</v>
      </c>
      <c r="O43">
        <v>13</v>
      </c>
      <c r="P43">
        <v>4.8</v>
      </c>
      <c r="Q43">
        <v>7</v>
      </c>
      <c r="R43">
        <v>9.4</v>
      </c>
      <c r="S43">
        <v>10.4</v>
      </c>
      <c r="T43">
        <v>6.5</v>
      </c>
      <c r="U43">
        <v>9.6</v>
      </c>
      <c r="V43">
        <v>5.6</v>
      </c>
      <c r="W43">
        <v>7.7</v>
      </c>
      <c r="X43">
        <v>4.0999999999999996</v>
      </c>
      <c r="Y43">
        <v>4.8</v>
      </c>
      <c r="Z43">
        <v>5</v>
      </c>
      <c r="AA43">
        <v>8</v>
      </c>
      <c r="AB43">
        <v>6</v>
      </c>
      <c r="AC43">
        <v>12</v>
      </c>
      <c r="AD43">
        <v>10</v>
      </c>
      <c r="AE43">
        <v>14</v>
      </c>
    </row>
    <row r="44" spans="1:31" x14ac:dyDescent="0.2">
      <c r="A44" s="1">
        <v>45859</v>
      </c>
      <c r="B44">
        <v>12</v>
      </c>
      <c r="C44">
        <v>1</v>
      </c>
      <c r="D44">
        <v>1</v>
      </c>
      <c r="E44">
        <v>5</v>
      </c>
      <c r="F44">
        <v>5</v>
      </c>
      <c r="G44">
        <v>8.9</v>
      </c>
      <c r="H44">
        <v>0</v>
      </c>
      <c r="I44">
        <v>0</v>
      </c>
      <c r="J44">
        <v>0</v>
      </c>
      <c r="L44" s="1">
        <v>45866</v>
      </c>
      <c r="M44">
        <v>34</v>
      </c>
      <c r="N44">
        <v>20</v>
      </c>
      <c r="O44">
        <v>43</v>
      </c>
      <c r="P44">
        <v>7.2</v>
      </c>
      <c r="Q44">
        <v>6.7</v>
      </c>
      <c r="R44">
        <v>5.8</v>
      </c>
      <c r="S44">
        <v>6.2</v>
      </c>
      <c r="T44">
        <v>3.6</v>
      </c>
      <c r="U44">
        <v>6.6</v>
      </c>
      <c r="V44">
        <v>5.8</v>
      </c>
      <c r="W44">
        <v>6.9</v>
      </c>
      <c r="X44">
        <v>6.5</v>
      </c>
      <c r="Y44">
        <v>7.1</v>
      </c>
      <c r="Z44">
        <v>29</v>
      </c>
      <c r="AA44">
        <v>7</v>
      </c>
      <c r="AB44">
        <v>6</v>
      </c>
      <c r="AC44">
        <v>3</v>
      </c>
      <c r="AD44">
        <v>10</v>
      </c>
      <c r="AE44">
        <v>11</v>
      </c>
    </row>
    <row r="45" spans="1:31" x14ac:dyDescent="0.2">
      <c r="A45" s="1">
        <v>45859</v>
      </c>
      <c r="B45">
        <v>12</v>
      </c>
      <c r="C45">
        <v>2</v>
      </c>
      <c r="D45">
        <v>1</v>
      </c>
      <c r="E45">
        <v>5</v>
      </c>
      <c r="F45">
        <v>15</v>
      </c>
      <c r="G45">
        <v>5.3</v>
      </c>
      <c r="H45">
        <v>0</v>
      </c>
      <c r="I45">
        <v>0</v>
      </c>
      <c r="J45">
        <v>0</v>
      </c>
      <c r="L45" s="1">
        <v>45866</v>
      </c>
      <c r="M45">
        <v>35</v>
      </c>
      <c r="N45">
        <v>30</v>
      </c>
      <c r="O45">
        <v>42</v>
      </c>
      <c r="P45">
        <v>9.1</v>
      </c>
      <c r="Q45">
        <v>11</v>
      </c>
      <c r="R45">
        <v>9.3000000000000007</v>
      </c>
      <c r="S45">
        <v>6.1</v>
      </c>
      <c r="T45">
        <v>4.2</v>
      </c>
      <c r="U45">
        <v>5.0999999999999996</v>
      </c>
      <c r="V45">
        <v>3.4</v>
      </c>
      <c r="W45">
        <v>5.4</v>
      </c>
      <c r="X45">
        <v>6.4</v>
      </c>
      <c r="Y45">
        <v>4.8</v>
      </c>
      <c r="Z45">
        <v>21</v>
      </c>
      <c r="AA45">
        <v>9</v>
      </c>
      <c r="AB45">
        <v>11</v>
      </c>
      <c r="AC45">
        <v>9</v>
      </c>
      <c r="AD45">
        <v>9</v>
      </c>
      <c r="AE45">
        <v>10</v>
      </c>
    </row>
    <row r="46" spans="1:31" x14ac:dyDescent="0.2">
      <c r="A46" s="1">
        <v>45859</v>
      </c>
      <c r="B46">
        <v>12</v>
      </c>
      <c r="C46">
        <v>3</v>
      </c>
      <c r="D46">
        <v>0</v>
      </c>
      <c r="E46">
        <v>0</v>
      </c>
      <c r="F46">
        <v>5</v>
      </c>
      <c r="G46">
        <v>6.1</v>
      </c>
      <c r="H46">
        <v>0</v>
      </c>
      <c r="I46">
        <v>0</v>
      </c>
      <c r="J46">
        <v>2.6</v>
      </c>
      <c r="L46" s="1">
        <v>45866</v>
      </c>
      <c r="M46">
        <v>36</v>
      </c>
      <c r="N46">
        <v>48</v>
      </c>
      <c r="O46">
        <v>95</v>
      </c>
      <c r="P46">
        <v>6.3</v>
      </c>
      <c r="Q46">
        <v>6.8</v>
      </c>
      <c r="R46">
        <v>5.7</v>
      </c>
      <c r="S46">
        <v>5</v>
      </c>
      <c r="T46">
        <v>8.1</v>
      </c>
      <c r="U46">
        <v>6</v>
      </c>
      <c r="V46">
        <v>6.9</v>
      </c>
      <c r="W46">
        <v>6.1</v>
      </c>
      <c r="X46">
        <v>6.6</v>
      </c>
      <c r="Y46">
        <v>5.6</v>
      </c>
      <c r="Z46">
        <v>36</v>
      </c>
      <c r="AA46">
        <v>11</v>
      </c>
      <c r="AB46">
        <v>4</v>
      </c>
      <c r="AC46">
        <v>4</v>
      </c>
      <c r="AD46">
        <v>6</v>
      </c>
      <c r="AE46">
        <v>5</v>
      </c>
    </row>
    <row r="47" spans="1:31" x14ac:dyDescent="0.2">
      <c r="A47" s="1">
        <v>45859</v>
      </c>
      <c r="B47">
        <v>13</v>
      </c>
      <c r="C47">
        <v>1</v>
      </c>
      <c r="D47">
        <v>1</v>
      </c>
      <c r="E47">
        <v>5</v>
      </c>
      <c r="F47">
        <v>5</v>
      </c>
      <c r="G47">
        <v>3.4</v>
      </c>
      <c r="H47">
        <v>0</v>
      </c>
      <c r="I47">
        <v>0</v>
      </c>
      <c r="J47">
        <v>0</v>
      </c>
      <c r="L47" s="1">
        <v>45866</v>
      </c>
      <c r="M47">
        <v>37</v>
      </c>
      <c r="N47">
        <v>0</v>
      </c>
      <c r="O47">
        <v>9</v>
      </c>
      <c r="P47">
        <v>9</v>
      </c>
      <c r="Q47">
        <v>6.3</v>
      </c>
      <c r="R47">
        <v>5.0999999999999996</v>
      </c>
      <c r="S47">
        <v>9.6999999999999993</v>
      </c>
      <c r="T47">
        <v>7.9</v>
      </c>
      <c r="U47">
        <v>6.6</v>
      </c>
      <c r="V47">
        <v>7.7</v>
      </c>
      <c r="W47">
        <v>4.7</v>
      </c>
      <c r="X47">
        <v>4.9000000000000004</v>
      </c>
      <c r="Y47">
        <v>6.2</v>
      </c>
      <c r="Z47">
        <v>2</v>
      </c>
      <c r="AA47">
        <v>8</v>
      </c>
      <c r="AB47">
        <v>12</v>
      </c>
      <c r="AC47">
        <v>14</v>
      </c>
    </row>
    <row r="48" spans="1:31" x14ac:dyDescent="0.2">
      <c r="A48" s="1">
        <v>45859</v>
      </c>
      <c r="B48">
        <v>13</v>
      </c>
      <c r="C48">
        <v>2</v>
      </c>
      <c r="D48">
        <v>2</v>
      </c>
      <c r="E48">
        <v>50</v>
      </c>
      <c r="F48">
        <v>60</v>
      </c>
      <c r="G48">
        <v>15.9</v>
      </c>
      <c r="H48">
        <v>0</v>
      </c>
      <c r="I48">
        <v>0</v>
      </c>
      <c r="J48">
        <v>5.9</v>
      </c>
      <c r="L48" s="1">
        <v>45866</v>
      </c>
      <c r="M48">
        <v>38</v>
      </c>
      <c r="N48">
        <v>36</v>
      </c>
      <c r="O48">
        <v>71</v>
      </c>
      <c r="P48">
        <v>5.7</v>
      </c>
      <c r="Q48">
        <v>5.6</v>
      </c>
      <c r="R48">
        <v>5.3</v>
      </c>
      <c r="S48">
        <v>3.6</v>
      </c>
      <c r="T48">
        <v>6.3</v>
      </c>
      <c r="U48">
        <v>6.2</v>
      </c>
      <c r="V48">
        <v>5.6</v>
      </c>
      <c r="W48">
        <v>5.5</v>
      </c>
      <c r="X48">
        <v>6.3</v>
      </c>
      <c r="Y48">
        <v>3.1</v>
      </c>
      <c r="Z48">
        <v>20</v>
      </c>
      <c r="AA48">
        <v>21</v>
      </c>
      <c r="AB48">
        <v>9</v>
      </c>
      <c r="AC48">
        <v>3</v>
      </c>
      <c r="AD48">
        <v>14</v>
      </c>
      <c r="AE48">
        <v>10</v>
      </c>
    </row>
    <row r="49" spans="1:31" x14ac:dyDescent="0.2">
      <c r="A49" s="1">
        <v>45859</v>
      </c>
      <c r="B49">
        <v>13</v>
      </c>
      <c r="C49">
        <v>3</v>
      </c>
      <c r="D49">
        <v>4</v>
      </c>
      <c r="E49">
        <v>30</v>
      </c>
      <c r="F49">
        <v>40</v>
      </c>
      <c r="G49">
        <v>9.8000000000000007</v>
      </c>
      <c r="H49">
        <v>0</v>
      </c>
      <c r="I49">
        <v>2.9</v>
      </c>
      <c r="J49">
        <v>2.1</v>
      </c>
      <c r="L49" s="1">
        <v>45866</v>
      </c>
      <c r="M49">
        <v>39</v>
      </c>
      <c r="N49">
        <v>23</v>
      </c>
      <c r="O49">
        <v>30</v>
      </c>
      <c r="P49">
        <v>7</v>
      </c>
      <c r="Q49">
        <v>5.9</v>
      </c>
      <c r="R49">
        <v>5.0999999999999996</v>
      </c>
      <c r="S49">
        <v>3.9</v>
      </c>
      <c r="T49">
        <v>4.2</v>
      </c>
      <c r="U49">
        <v>3.5</v>
      </c>
      <c r="V49">
        <v>4.2</v>
      </c>
      <c r="W49">
        <v>7</v>
      </c>
      <c r="X49">
        <v>6.7</v>
      </c>
      <c r="Y49">
        <v>5</v>
      </c>
      <c r="Z49">
        <v>13</v>
      </c>
      <c r="AA49">
        <v>10</v>
      </c>
      <c r="AB49">
        <v>8</v>
      </c>
      <c r="AC49">
        <v>7</v>
      </c>
      <c r="AD49">
        <v>4</v>
      </c>
      <c r="AE49">
        <v>6</v>
      </c>
    </row>
    <row r="50" spans="1:31" x14ac:dyDescent="0.2">
      <c r="A50" s="1">
        <v>45859</v>
      </c>
      <c r="B50">
        <v>14</v>
      </c>
      <c r="C50">
        <v>1</v>
      </c>
      <c r="D50">
        <v>5</v>
      </c>
      <c r="E50">
        <v>20</v>
      </c>
      <c r="F50">
        <v>90</v>
      </c>
      <c r="G50">
        <v>15</v>
      </c>
      <c r="H50">
        <v>8</v>
      </c>
      <c r="I50">
        <v>3</v>
      </c>
      <c r="J50">
        <v>6</v>
      </c>
      <c r="L50" s="1">
        <v>45866</v>
      </c>
      <c r="M50">
        <v>40</v>
      </c>
      <c r="N50">
        <v>23</v>
      </c>
      <c r="O50">
        <v>32</v>
      </c>
      <c r="P50">
        <v>8.9</v>
      </c>
      <c r="Q50">
        <v>8.6</v>
      </c>
      <c r="R50">
        <v>5.2</v>
      </c>
      <c r="S50">
        <v>3.4</v>
      </c>
      <c r="T50">
        <v>5.2</v>
      </c>
      <c r="U50">
        <v>6.2</v>
      </c>
      <c r="V50">
        <v>7</v>
      </c>
      <c r="W50">
        <v>4.9000000000000004</v>
      </c>
      <c r="X50">
        <v>7.2</v>
      </c>
      <c r="Y50">
        <v>8.4</v>
      </c>
      <c r="Z50">
        <v>30</v>
      </c>
      <c r="AA50">
        <v>9</v>
      </c>
      <c r="AB50">
        <v>13</v>
      </c>
      <c r="AC50">
        <v>6</v>
      </c>
      <c r="AD50">
        <v>7</v>
      </c>
      <c r="AE50">
        <v>3</v>
      </c>
    </row>
    <row r="51" spans="1:31" x14ac:dyDescent="0.2">
      <c r="A51" s="1">
        <v>45859</v>
      </c>
      <c r="B51">
        <v>14</v>
      </c>
      <c r="C51">
        <v>2</v>
      </c>
      <c r="D51">
        <v>4</v>
      </c>
      <c r="E51">
        <v>10</v>
      </c>
      <c r="F51">
        <v>40</v>
      </c>
      <c r="G51">
        <v>7.7</v>
      </c>
      <c r="H51">
        <v>6.4</v>
      </c>
      <c r="I51">
        <v>0</v>
      </c>
      <c r="J51">
        <v>0</v>
      </c>
      <c r="L51" s="1">
        <v>45866</v>
      </c>
      <c r="M51">
        <v>41</v>
      </c>
      <c r="N51">
        <v>56</v>
      </c>
      <c r="O51">
        <v>79</v>
      </c>
      <c r="P51">
        <v>5.0999999999999996</v>
      </c>
      <c r="Q51">
        <v>2.9</v>
      </c>
      <c r="R51">
        <v>4.5999999999999996</v>
      </c>
      <c r="S51">
        <v>7.4</v>
      </c>
      <c r="T51">
        <v>7.2</v>
      </c>
      <c r="U51">
        <v>3.9</v>
      </c>
      <c r="V51">
        <v>3.8</v>
      </c>
      <c r="W51">
        <v>7.2</v>
      </c>
      <c r="X51">
        <v>5.0999999999999996</v>
      </c>
      <c r="Y51">
        <v>4.0999999999999996</v>
      </c>
      <c r="Z51">
        <v>31</v>
      </c>
      <c r="AA51">
        <v>3</v>
      </c>
      <c r="AB51">
        <v>4</v>
      </c>
      <c r="AC51">
        <v>4</v>
      </c>
      <c r="AD51">
        <v>6</v>
      </c>
      <c r="AE51">
        <v>2</v>
      </c>
    </row>
    <row r="52" spans="1:31" x14ac:dyDescent="0.2">
      <c r="A52" s="1">
        <v>45859</v>
      </c>
      <c r="B52">
        <v>14</v>
      </c>
      <c r="C52">
        <v>3</v>
      </c>
      <c r="D52">
        <v>3</v>
      </c>
      <c r="E52">
        <v>10</v>
      </c>
      <c r="F52">
        <v>25</v>
      </c>
      <c r="G52">
        <v>6.7</v>
      </c>
      <c r="H52">
        <v>5.4</v>
      </c>
      <c r="I52">
        <v>4.9000000000000004</v>
      </c>
      <c r="J52">
        <v>0</v>
      </c>
      <c r="L52" s="1">
        <v>45866</v>
      </c>
      <c r="M52">
        <v>42</v>
      </c>
      <c r="N52">
        <v>49</v>
      </c>
      <c r="O52">
        <v>72</v>
      </c>
      <c r="P52">
        <v>7.9</v>
      </c>
      <c r="Q52">
        <v>5.3</v>
      </c>
      <c r="R52">
        <v>5.9</v>
      </c>
      <c r="S52">
        <v>6.6</v>
      </c>
      <c r="T52">
        <v>3.9</v>
      </c>
      <c r="U52">
        <v>8.1999999999999993</v>
      </c>
      <c r="V52">
        <v>6.2</v>
      </c>
      <c r="W52">
        <v>4</v>
      </c>
      <c r="X52">
        <v>3.4</v>
      </c>
      <c r="Y52">
        <v>7.1</v>
      </c>
      <c r="Z52">
        <v>36</v>
      </c>
      <c r="AA52">
        <v>9</v>
      </c>
      <c r="AB52">
        <v>20</v>
      </c>
      <c r="AC52">
        <v>6</v>
      </c>
      <c r="AD52">
        <v>7</v>
      </c>
      <c r="AE52">
        <v>5</v>
      </c>
    </row>
    <row r="53" spans="1:31" x14ac:dyDescent="0.2">
      <c r="A53" s="1">
        <v>45861</v>
      </c>
      <c r="B53">
        <v>15</v>
      </c>
      <c r="C53">
        <v>1</v>
      </c>
      <c r="D53">
        <v>4</v>
      </c>
      <c r="E53">
        <v>40</v>
      </c>
      <c r="F53">
        <v>100</v>
      </c>
      <c r="G53">
        <v>18.2</v>
      </c>
      <c r="H53">
        <v>3.3</v>
      </c>
      <c r="I53">
        <v>13.4</v>
      </c>
      <c r="J53">
        <v>6</v>
      </c>
      <c r="L53" s="1">
        <v>45866</v>
      </c>
      <c r="M53">
        <v>43</v>
      </c>
      <c r="N53">
        <v>9</v>
      </c>
      <c r="O53">
        <v>30</v>
      </c>
      <c r="P53">
        <v>4.5999999999999996</v>
      </c>
      <c r="Q53">
        <v>4.5</v>
      </c>
      <c r="R53">
        <v>5.8</v>
      </c>
      <c r="S53">
        <v>5.0999999999999996</v>
      </c>
      <c r="T53">
        <v>3.1</v>
      </c>
      <c r="U53">
        <v>4.7</v>
      </c>
      <c r="V53">
        <v>4.0999999999999996</v>
      </c>
      <c r="W53">
        <v>8.9</v>
      </c>
      <c r="X53">
        <v>2.7</v>
      </c>
      <c r="Y53">
        <v>5.0999999999999996</v>
      </c>
      <c r="Z53">
        <v>4</v>
      </c>
      <c r="AA53">
        <v>6</v>
      </c>
      <c r="AB53">
        <v>3</v>
      </c>
      <c r="AC53">
        <v>3</v>
      </c>
      <c r="AD53">
        <v>2</v>
      </c>
    </row>
    <row r="54" spans="1:31" x14ac:dyDescent="0.2">
      <c r="A54" s="1">
        <v>45861</v>
      </c>
      <c r="B54">
        <v>15</v>
      </c>
      <c r="C54">
        <v>2</v>
      </c>
      <c r="D54">
        <v>1</v>
      </c>
      <c r="E54">
        <v>0</v>
      </c>
      <c r="F54">
        <v>10</v>
      </c>
      <c r="G54">
        <v>5</v>
      </c>
      <c r="H54">
        <v>0</v>
      </c>
      <c r="I54">
        <v>4.9000000000000004</v>
      </c>
      <c r="J54">
        <v>1.1000000000000001</v>
      </c>
      <c r="L54" s="1">
        <v>45866</v>
      </c>
      <c r="M54">
        <v>44</v>
      </c>
      <c r="N54">
        <v>7</v>
      </c>
      <c r="O54">
        <v>45</v>
      </c>
      <c r="P54">
        <v>9.1</v>
      </c>
      <c r="Q54">
        <v>5.6</v>
      </c>
      <c r="R54">
        <v>3.6</v>
      </c>
      <c r="S54">
        <v>5.0999999999999996</v>
      </c>
      <c r="T54">
        <v>5.0999999999999996</v>
      </c>
      <c r="U54">
        <v>5.6</v>
      </c>
      <c r="V54">
        <v>12.2</v>
      </c>
      <c r="W54">
        <v>4.4000000000000004</v>
      </c>
      <c r="X54">
        <v>3.6</v>
      </c>
      <c r="Y54">
        <v>4.7</v>
      </c>
      <c r="Z54">
        <v>1</v>
      </c>
      <c r="AA54">
        <v>10</v>
      </c>
    </row>
    <row r="55" spans="1:31" x14ac:dyDescent="0.2">
      <c r="A55" s="1">
        <v>45861</v>
      </c>
      <c r="B55">
        <v>15</v>
      </c>
      <c r="C55">
        <v>3</v>
      </c>
      <c r="D55">
        <v>4</v>
      </c>
      <c r="E55">
        <v>50</v>
      </c>
      <c r="F55">
        <v>10</v>
      </c>
      <c r="G55">
        <v>14.1</v>
      </c>
      <c r="H55">
        <v>5</v>
      </c>
      <c r="I55">
        <v>13</v>
      </c>
      <c r="J55">
        <v>3.2</v>
      </c>
      <c r="L55" s="1">
        <v>45866</v>
      </c>
      <c r="M55">
        <v>45</v>
      </c>
      <c r="N55">
        <v>16</v>
      </c>
      <c r="O55">
        <v>65</v>
      </c>
      <c r="P55">
        <v>9.1</v>
      </c>
      <c r="Q55">
        <v>7.2</v>
      </c>
      <c r="R55">
        <v>5.3</v>
      </c>
      <c r="S55">
        <v>6.6</v>
      </c>
      <c r="T55">
        <v>3.9</v>
      </c>
      <c r="U55">
        <v>3.3</v>
      </c>
      <c r="V55">
        <v>4.5999999999999996</v>
      </c>
      <c r="W55">
        <v>2.9</v>
      </c>
      <c r="X55">
        <v>2.6</v>
      </c>
      <c r="Y55">
        <v>4.9000000000000004</v>
      </c>
      <c r="Z55">
        <v>4</v>
      </c>
      <c r="AA55">
        <v>6</v>
      </c>
      <c r="AB55">
        <v>9</v>
      </c>
      <c r="AC55">
        <v>8</v>
      </c>
      <c r="AD55">
        <v>2</v>
      </c>
    </row>
    <row r="56" spans="1:31" x14ac:dyDescent="0.2">
      <c r="A56" s="1">
        <v>45861</v>
      </c>
      <c r="B56">
        <v>16</v>
      </c>
      <c r="C56">
        <v>1</v>
      </c>
      <c r="D56">
        <v>2</v>
      </c>
      <c r="E56">
        <v>0</v>
      </c>
      <c r="F56">
        <v>30</v>
      </c>
      <c r="G56">
        <v>7</v>
      </c>
      <c r="H56">
        <v>3.3</v>
      </c>
      <c r="I56">
        <v>4</v>
      </c>
      <c r="J56">
        <v>6</v>
      </c>
      <c r="L56" s="1">
        <v>45866</v>
      </c>
      <c r="M56">
        <v>46</v>
      </c>
      <c r="N56">
        <v>6</v>
      </c>
      <c r="O56">
        <v>22</v>
      </c>
      <c r="P56">
        <v>5</v>
      </c>
      <c r="Q56">
        <v>7.7</v>
      </c>
      <c r="R56">
        <v>3</v>
      </c>
      <c r="S56">
        <v>4.9000000000000004</v>
      </c>
      <c r="T56">
        <v>5.4</v>
      </c>
      <c r="U56">
        <v>5.2</v>
      </c>
      <c r="V56">
        <v>5</v>
      </c>
      <c r="W56">
        <v>8.1</v>
      </c>
      <c r="X56">
        <v>6.6</v>
      </c>
      <c r="Y56">
        <v>5.3</v>
      </c>
      <c r="Z56">
        <v>6</v>
      </c>
      <c r="AA56">
        <v>12</v>
      </c>
      <c r="AB56">
        <v>3</v>
      </c>
      <c r="AC56">
        <v>6</v>
      </c>
      <c r="AD56">
        <v>12</v>
      </c>
      <c r="AE56">
        <v>3</v>
      </c>
    </row>
    <row r="57" spans="1:31" x14ac:dyDescent="0.2">
      <c r="A57" s="1">
        <v>45861</v>
      </c>
      <c r="B57">
        <v>16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 s="1">
        <v>45867</v>
      </c>
      <c r="M57">
        <v>47</v>
      </c>
      <c r="N57">
        <v>43</v>
      </c>
      <c r="O57">
        <v>78</v>
      </c>
      <c r="P57">
        <v>5.9</v>
      </c>
      <c r="Q57">
        <v>3.9</v>
      </c>
      <c r="R57">
        <v>5.0999999999999996</v>
      </c>
      <c r="S57">
        <v>2.9</v>
      </c>
      <c r="T57">
        <v>3.3</v>
      </c>
      <c r="U57" s="4">
        <v>1.8</v>
      </c>
      <c r="V57">
        <v>2.7</v>
      </c>
      <c r="W57">
        <v>5.3</v>
      </c>
      <c r="X57">
        <v>2.8</v>
      </c>
      <c r="Y57">
        <v>2.9</v>
      </c>
      <c r="Z57">
        <v>31</v>
      </c>
      <c r="AA57">
        <v>6</v>
      </c>
      <c r="AB57">
        <v>8</v>
      </c>
      <c r="AC57">
        <v>12</v>
      </c>
      <c r="AD57">
        <v>2</v>
      </c>
      <c r="AE57">
        <v>2</v>
      </c>
    </row>
    <row r="58" spans="1:31" x14ac:dyDescent="0.2">
      <c r="A58" s="1">
        <v>45861</v>
      </c>
      <c r="B58">
        <v>16</v>
      </c>
      <c r="C58">
        <v>3</v>
      </c>
      <c r="D58">
        <v>5</v>
      </c>
      <c r="E58">
        <v>30</v>
      </c>
      <c r="F58">
        <v>100</v>
      </c>
      <c r="G58">
        <v>16.600000000000001</v>
      </c>
      <c r="H58">
        <v>6</v>
      </c>
      <c r="I58">
        <v>3.3</v>
      </c>
      <c r="J58">
        <v>7</v>
      </c>
      <c r="L58" s="1">
        <v>45867</v>
      </c>
      <c r="M58">
        <v>48</v>
      </c>
      <c r="N58">
        <v>31</v>
      </c>
      <c r="O58">
        <v>52</v>
      </c>
      <c r="P58">
        <v>5</v>
      </c>
      <c r="Q58">
        <v>7</v>
      </c>
      <c r="R58">
        <v>3.1</v>
      </c>
      <c r="S58">
        <v>3.2</v>
      </c>
      <c r="T58">
        <v>6.5</v>
      </c>
      <c r="U58">
        <v>5.8</v>
      </c>
      <c r="V58">
        <v>6</v>
      </c>
      <c r="W58">
        <v>4.2</v>
      </c>
      <c r="X58">
        <v>4.3</v>
      </c>
      <c r="Y58">
        <v>6.5</v>
      </c>
      <c r="Z58">
        <v>79</v>
      </c>
      <c r="AA58">
        <v>7</v>
      </c>
      <c r="AB58">
        <v>7</v>
      </c>
      <c r="AC58">
        <v>6</v>
      </c>
      <c r="AD58">
        <v>5</v>
      </c>
      <c r="AE58">
        <v>3</v>
      </c>
    </row>
    <row r="59" spans="1:31" x14ac:dyDescent="0.2">
      <c r="A59" s="1">
        <v>45861</v>
      </c>
      <c r="B59">
        <v>17</v>
      </c>
      <c r="C59">
        <v>1</v>
      </c>
      <c r="D59">
        <v>3</v>
      </c>
      <c r="E59">
        <v>40</v>
      </c>
      <c r="F59">
        <v>50</v>
      </c>
      <c r="G59">
        <v>11.6</v>
      </c>
      <c r="H59">
        <v>11.6</v>
      </c>
      <c r="I59">
        <v>0</v>
      </c>
      <c r="J59">
        <v>0</v>
      </c>
      <c r="L59" s="1">
        <v>45867</v>
      </c>
      <c r="M59">
        <v>49</v>
      </c>
      <c r="N59">
        <v>16</v>
      </c>
      <c r="O59">
        <v>14</v>
      </c>
      <c r="P59">
        <v>7</v>
      </c>
      <c r="Q59">
        <v>6</v>
      </c>
      <c r="R59">
        <v>5</v>
      </c>
      <c r="S59">
        <v>6.5</v>
      </c>
      <c r="T59">
        <v>3.8</v>
      </c>
      <c r="U59">
        <v>4.8</v>
      </c>
      <c r="V59">
        <v>7.5</v>
      </c>
      <c r="W59">
        <v>6.9</v>
      </c>
      <c r="X59">
        <v>5.6</v>
      </c>
      <c r="Y59">
        <v>2.9</v>
      </c>
      <c r="Z59">
        <v>2</v>
      </c>
      <c r="AA59">
        <v>11</v>
      </c>
      <c r="AB59">
        <v>10</v>
      </c>
    </row>
    <row r="60" spans="1:31" x14ac:dyDescent="0.2">
      <c r="A60" s="1">
        <v>45861</v>
      </c>
      <c r="B60">
        <v>17</v>
      </c>
      <c r="C60">
        <v>2</v>
      </c>
      <c r="D60">
        <v>1</v>
      </c>
      <c r="E60">
        <v>0</v>
      </c>
      <c r="F60">
        <v>1</v>
      </c>
      <c r="G60">
        <v>5.6</v>
      </c>
      <c r="H60">
        <v>3</v>
      </c>
      <c r="I60">
        <v>0</v>
      </c>
      <c r="J60">
        <v>0</v>
      </c>
      <c r="L60" s="1">
        <v>45867</v>
      </c>
      <c r="M60">
        <v>50</v>
      </c>
      <c r="N60">
        <v>28</v>
      </c>
      <c r="O60">
        <v>70</v>
      </c>
      <c r="P60">
        <v>6</v>
      </c>
      <c r="Q60">
        <v>6.2</v>
      </c>
      <c r="R60">
        <v>4.7</v>
      </c>
      <c r="S60">
        <v>4.7</v>
      </c>
      <c r="T60">
        <v>3.8</v>
      </c>
      <c r="U60">
        <v>2.8</v>
      </c>
      <c r="V60">
        <v>4.4000000000000004</v>
      </c>
      <c r="W60">
        <v>4.2</v>
      </c>
      <c r="X60">
        <v>4.3</v>
      </c>
      <c r="Y60">
        <v>4</v>
      </c>
      <c r="Z60">
        <v>23</v>
      </c>
      <c r="AA60">
        <v>8</v>
      </c>
      <c r="AB60">
        <v>9</v>
      </c>
      <c r="AC60">
        <v>19</v>
      </c>
      <c r="AD60">
        <v>11</v>
      </c>
      <c r="AE60">
        <v>5</v>
      </c>
    </row>
    <row r="61" spans="1:31" x14ac:dyDescent="0.2">
      <c r="A61" s="1">
        <v>45861</v>
      </c>
      <c r="B61">
        <v>17</v>
      </c>
      <c r="C61">
        <v>3</v>
      </c>
      <c r="D61">
        <v>3</v>
      </c>
      <c r="E61">
        <v>30</v>
      </c>
      <c r="F61">
        <v>90</v>
      </c>
      <c r="G61">
        <v>12.6</v>
      </c>
      <c r="H61">
        <v>7</v>
      </c>
      <c r="I61">
        <v>0</v>
      </c>
      <c r="J61">
        <v>5.6</v>
      </c>
      <c r="L61" s="1">
        <v>45867</v>
      </c>
      <c r="M61">
        <v>51</v>
      </c>
      <c r="N61">
        <v>6</v>
      </c>
      <c r="O61">
        <v>11</v>
      </c>
      <c r="P61">
        <v>8.1</v>
      </c>
      <c r="Q61">
        <v>6.5</v>
      </c>
      <c r="R61">
        <v>5</v>
      </c>
      <c r="S61">
        <v>7.5</v>
      </c>
      <c r="T61">
        <v>2.8</v>
      </c>
      <c r="U61">
        <v>8.3000000000000007</v>
      </c>
      <c r="V61">
        <v>5.7</v>
      </c>
      <c r="W61">
        <v>4.4000000000000004</v>
      </c>
      <c r="X61">
        <v>7.3</v>
      </c>
      <c r="Y61">
        <v>6</v>
      </c>
      <c r="Z61">
        <v>1</v>
      </c>
      <c r="AA61">
        <v>9</v>
      </c>
    </row>
    <row r="62" spans="1:31" x14ac:dyDescent="0.2">
      <c r="A62" s="1">
        <v>45861</v>
      </c>
      <c r="B62">
        <v>18</v>
      </c>
      <c r="C62">
        <v>1</v>
      </c>
      <c r="D62">
        <v>2</v>
      </c>
      <c r="E62">
        <v>10</v>
      </c>
      <c r="F62">
        <v>90</v>
      </c>
      <c r="G62">
        <v>10.1</v>
      </c>
      <c r="H62">
        <v>10</v>
      </c>
      <c r="I62">
        <v>5</v>
      </c>
      <c r="J62">
        <v>0</v>
      </c>
      <c r="L62" s="1">
        <v>45867</v>
      </c>
      <c r="M62">
        <v>52</v>
      </c>
      <c r="N62">
        <v>51</v>
      </c>
      <c r="O62">
        <v>59</v>
      </c>
      <c r="P62">
        <v>4.7</v>
      </c>
      <c r="Q62">
        <v>5.2</v>
      </c>
      <c r="R62">
        <v>6</v>
      </c>
      <c r="S62">
        <v>6.8</v>
      </c>
      <c r="T62">
        <v>6.5</v>
      </c>
      <c r="U62">
        <v>5</v>
      </c>
      <c r="V62">
        <v>5.7</v>
      </c>
      <c r="W62">
        <v>7</v>
      </c>
      <c r="X62">
        <v>4.5</v>
      </c>
      <c r="Y62">
        <v>5.0999999999999996</v>
      </c>
      <c r="Z62">
        <v>12</v>
      </c>
      <c r="AA62">
        <v>6</v>
      </c>
      <c r="AB62">
        <v>5</v>
      </c>
      <c r="AC62">
        <v>7</v>
      </c>
      <c r="AD62">
        <v>9</v>
      </c>
      <c r="AE62">
        <v>10</v>
      </c>
    </row>
    <row r="63" spans="1:31" x14ac:dyDescent="0.2">
      <c r="A63" s="1">
        <v>45861</v>
      </c>
      <c r="B63">
        <v>18</v>
      </c>
      <c r="C63">
        <v>2</v>
      </c>
      <c r="D63">
        <v>3</v>
      </c>
      <c r="E63">
        <v>50</v>
      </c>
      <c r="F63">
        <v>80</v>
      </c>
      <c r="G63">
        <v>13.3</v>
      </c>
      <c r="H63">
        <v>9.8000000000000007</v>
      </c>
      <c r="I63">
        <v>0.5</v>
      </c>
      <c r="J63">
        <v>12.1</v>
      </c>
      <c r="L63" s="1">
        <v>45867</v>
      </c>
      <c r="M63">
        <v>53</v>
      </c>
      <c r="N63">
        <v>35</v>
      </c>
      <c r="O63">
        <v>60</v>
      </c>
      <c r="P63">
        <v>2.8</v>
      </c>
      <c r="Q63">
        <v>5.8</v>
      </c>
      <c r="R63">
        <v>4.5999999999999996</v>
      </c>
      <c r="S63">
        <v>2.4</v>
      </c>
      <c r="T63">
        <v>5.2</v>
      </c>
      <c r="U63">
        <v>3.1</v>
      </c>
      <c r="V63">
        <v>4.7</v>
      </c>
      <c r="W63">
        <v>2.4</v>
      </c>
      <c r="X63">
        <v>2.8</v>
      </c>
      <c r="Y63">
        <v>4.9000000000000004</v>
      </c>
      <c r="Z63">
        <v>17</v>
      </c>
      <c r="AA63">
        <v>11</v>
      </c>
      <c r="AB63">
        <v>4</v>
      </c>
      <c r="AC63">
        <v>6</v>
      </c>
      <c r="AD63">
        <v>9</v>
      </c>
      <c r="AE63">
        <v>8</v>
      </c>
    </row>
    <row r="64" spans="1:31" x14ac:dyDescent="0.2">
      <c r="A64" s="1">
        <v>45861</v>
      </c>
      <c r="B64">
        <v>18</v>
      </c>
      <c r="C64">
        <v>3</v>
      </c>
      <c r="D64">
        <v>5</v>
      </c>
      <c r="E64">
        <v>40</v>
      </c>
      <c r="F64">
        <v>90</v>
      </c>
      <c r="G64">
        <v>18</v>
      </c>
      <c r="H64">
        <v>8</v>
      </c>
      <c r="I64">
        <v>4</v>
      </c>
      <c r="J64">
        <v>0</v>
      </c>
      <c r="L64" s="1">
        <v>45867</v>
      </c>
      <c r="M64">
        <v>54</v>
      </c>
      <c r="N64">
        <v>36</v>
      </c>
      <c r="O64">
        <v>37</v>
      </c>
      <c r="P64">
        <v>7.2</v>
      </c>
      <c r="Q64">
        <v>3.7</v>
      </c>
      <c r="R64">
        <v>7.8</v>
      </c>
      <c r="S64">
        <v>3.6</v>
      </c>
      <c r="T64">
        <v>5.6</v>
      </c>
      <c r="U64">
        <v>4.2</v>
      </c>
      <c r="V64">
        <v>5.0999999999999996</v>
      </c>
      <c r="W64">
        <v>5.8</v>
      </c>
      <c r="X64">
        <v>4.9000000000000004</v>
      </c>
      <c r="Y64">
        <v>4</v>
      </c>
      <c r="Z64">
        <v>38</v>
      </c>
      <c r="AA64">
        <v>2</v>
      </c>
      <c r="AB64">
        <v>3</v>
      </c>
      <c r="AC64">
        <v>5</v>
      </c>
      <c r="AD64">
        <v>11</v>
      </c>
      <c r="AE64">
        <v>10</v>
      </c>
    </row>
    <row r="65" spans="1:31" x14ac:dyDescent="0.2">
      <c r="A65" s="1">
        <v>45861</v>
      </c>
      <c r="B65">
        <v>19</v>
      </c>
      <c r="C65">
        <v>1</v>
      </c>
      <c r="D65">
        <v>3</v>
      </c>
      <c r="E65">
        <v>20</v>
      </c>
      <c r="F65">
        <v>50</v>
      </c>
      <c r="G65">
        <v>9.1999999999999993</v>
      </c>
      <c r="H65">
        <v>6.6</v>
      </c>
      <c r="I65">
        <v>0</v>
      </c>
      <c r="J65">
        <v>5.4</v>
      </c>
      <c r="L65" s="1">
        <v>45867</v>
      </c>
      <c r="M65">
        <v>55</v>
      </c>
      <c r="N65">
        <v>0</v>
      </c>
      <c r="O65">
        <v>5</v>
      </c>
      <c r="P65">
        <v>4.7</v>
      </c>
      <c r="Q65">
        <v>5.4</v>
      </c>
      <c r="R65">
        <v>6.5</v>
      </c>
      <c r="S65">
        <v>7.4</v>
      </c>
      <c r="T65">
        <v>6.2</v>
      </c>
      <c r="Z65">
        <v>1</v>
      </c>
      <c r="AA65">
        <v>11</v>
      </c>
    </row>
    <row r="66" spans="1:31" x14ac:dyDescent="0.2">
      <c r="A66" s="1">
        <v>45861</v>
      </c>
      <c r="B66">
        <v>19</v>
      </c>
      <c r="C66">
        <v>2</v>
      </c>
      <c r="D66">
        <v>1</v>
      </c>
      <c r="E66">
        <v>0</v>
      </c>
      <c r="F66">
        <v>0</v>
      </c>
      <c r="G66">
        <v>4.4000000000000004</v>
      </c>
      <c r="H66">
        <v>0</v>
      </c>
      <c r="I66">
        <v>0.5</v>
      </c>
      <c r="J66">
        <v>0</v>
      </c>
      <c r="L66" s="1">
        <v>45867</v>
      </c>
      <c r="M66">
        <v>56</v>
      </c>
      <c r="N66">
        <v>112</v>
      </c>
      <c r="O66">
        <v>142</v>
      </c>
      <c r="P66">
        <v>6</v>
      </c>
      <c r="Q66">
        <v>6.2</v>
      </c>
      <c r="R66">
        <v>6.4</v>
      </c>
      <c r="S66">
        <v>4.5999999999999996</v>
      </c>
      <c r="T66">
        <v>3.4</v>
      </c>
      <c r="U66">
        <v>2.8</v>
      </c>
      <c r="V66">
        <v>2</v>
      </c>
      <c r="W66" s="4">
        <v>1.9</v>
      </c>
      <c r="X66">
        <v>4.7</v>
      </c>
      <c r="Y66">
        <v>4</v>
      </c>
      <c r="Z66">
        <v>31</v>
      </c>
      <c r="AA66">
        <v>19</v>
      </c>
      <c r="AB66">
        <v>16</v>
      </c>
      <c r="AC66">
        <v>11</v>
      </c>
      <c r="AD66">
        <v>3</v>
      </c>
      <c r="AE66">
        <v>16</v>
      </c>
    </row>
    <row r="67" spans="1:31" x14ac:dyDescent="0.2">
      <c r="A67" s="1">
        <v>45861</v>
      </c>
      <c r="B67">
        <v>19</v>
      </c>
      <c r="C67">
        <v>3</v>
      </c>
      <c r="D67">
        <v>2</v>
      </c>
      <c r="E67">
        <v>0</v>
      </c>
      <c r="F67">
        <v>30</v>
      </c>
      <c r="G67">
        <v>9</v>
      </c>
      <c r="H67">
        <v>0</v>
      </c>
      <c r="I67">
        <v>4.4000000000000004</v>
      </c>
      <c r="J67">
        <v>3</v>
      </c>
      <c r="L67" s="1">
        <v>45867</v>
      </c>
      <c r="M67">
        <v>57</v>
      </c>
      <c r="N67">
        <v>50</v>
      </c>
      <c r="O67">
        <v>69</v>
      </c>
      <c r="P67">
        <v>6.6</v>
      </c>
      <c r="Q67">
        <v>7.1</v>
      </c>
      <c r="R67">
        <v>9.5</v>
      </c>
      <c r="S67">
        <v>8.1999999999999993</v>
      </c>
      <c r="T67">
        <v>6</v>
      </c>
      <c r="U67">
        <v>6.2</v>
      </c>
      <c r="V67">
        <v>5</v>
      </c>
      <c r="W67">
        <v>6.5</v>
      </c>
      <c r="X67">
        <v>5.7</v>
      </c>
      <c r="Y67">
        <v>5.7</v>
      </c>
      <c r="Z67">
        <v>79</v>
      </c>
      <c r="AA67">
        <v>7</v>
      </c>
      <c r="AB67">
        <v>6</v>
      </c>
      <c r="AC67">
        <v>6</v>
      </c>
      <c r="AD67">
        <v>5</v>
      </c>
      <c r="AE67">
        <v>5</v>
      </c>
    </row>
    <row r="68" spans="1:31" x14ac:dyDescent="0.2">
      <c r="A68" s="1">
        <v>45860</v>
      </c>
      <c r="B68">
        <v>20</v>
      </c>
      <c r="C68">
        <v>1</v>
      </c>
      <c r="D68">
        <v>3</v>
      </c>
      <c r="E68">
        <v>65</v>
      </c>
      <c r="F68">
        <v>90</v>
      </c>
      <c r="G68">
        <v>9.6999999999999993</v>
      </c>
      <c r="H68">
        <v>3.3</v>
      </c>
      <c r="I68">
        <v>6.3</v>
      </c>
      <c r="J68">
        <v>2.4</v>
      </c>
      <c r="L68" s="1">
        <v>45867</v>
      </c>
      <c r="M68">
        <v>58</v>
      </c>
      <c r="N68">
        <v>18</v>
      </c>
      <c r="O68">
        <v>37</v>
      </c>
      <c r="P68">
        <v>5.8</v>
      </c>
      <c r="Q68">
        <v>5.3</v>
      </c>
      <c r="R68">
        <v>4.3</v>
      </c>
      <c r="S68">
        <v>4</v>
      </c>
      <c r="T68">
        <v>4.4000000000000004</v>
      </c>
      <c r="U68" t="s">
        <v>146</v>
      </c>
      <c r="V68">
        <v>4</v>
      </c>
      <c r="W68">
        <v>5.0999999999999996</v>
      </c>
      <c r="X68">
        <v>5.2</v>
      </c>
      <c r="Y68">
        <v>17</v>
      </c>
      <c r="Z68">
        <v>8</v>
      </c>
      <c r="AA68">
        <v>6</v>
      </c>
      <c r="AB68">
        <v>9</v>
      </c>
      <c r="AC68">
        <v>6</v>
      </c>
      <c r="AD68">
        <v>7</v>
      </c>
    </row>
    <row r="69" spans="1:31" x14ac:dyDescent="0.2">
      <c r="A69" s="1">
        <v>45860</v>
      </c>
      <c r="B69">
        <v>20</v>
      </c>
      <c r="C69">
        <v>2</v>
      </c>
      <c r="D69">
        <v>4</v>
      </c>
      <c r="E69">
        <v>70</v>
      </c>
      <c r="F69">
        <v>71</v>
      </c>
      <c r="G69">
        <v>9.8000000000000007</v>
      </c>
      <c r="H69">
        <v>2</v>
      </c>
      <c r="I69">
        <v>0</v>
      </c>
      <c r="J69">
        <v>7</v>
      </c>
      <c r="L69" s="1">
        <v>45867</v>
      </c>
      <c r="M69">
        <v>59</v>
      </c>
      <c r="N69">
        <v>11</v>
      </c>
      <c r="O69">
        <v>21</v>
      </c>
      <c r="P69">
        <v>4</v>
      </c>
      <c r="Q69">
        <v>5.2</v>
      </c>
      <c r="R69">
        <v>4.3</v>
      </c>
      <c r="S69">
        <v>3.4</v>
      </c>
      <c r="T69">
        <v>4.9000000000000004</v>
      </c>
      <c r="U69">
        <v>3.8</v>
      </c>
      <c r="V69">
        <v>4</v>
      </c>
      <c r="W69">
        <v>3</v>
      </c>
      <c r="X69">
        <v>3.3</v>
      </c>
      <c r="Y69">
        <v>2</v>
      </c>
      <c r="Z69">
        <v>11</v>
      </c>
      <c r="AA69">
        <v>11</v>
      </c>
      <c r="AB69">
        <v>7</v>
      </c>
      <c r="AC69">
        <v>4</v>
      </c>
      <c r="AD69">
        <v>5</v>
      </c>
      <c r="AE69">
        <v>3</v>
      </c>
    </row>
    <row r="70" spans="1:31" x14ac:dyDescent="0.2">
      <c r="A70" s="1">
        <v>45860</v>
      </c>
      <c r="B70">
        <v>20</v>
      </c>
      <c r="C70">
        <v>3</v>
      </c>
      <c r="D70">
        <v>4</v>
      </c>
      <c r="E70">
        <v>20</v>
      </c>
      <c r="F70">
        <v>60</v>
      </c>
      <c r="G70">
        <v>10.199999999999999</v>
      </c>
      <c r="H70">
        <v>4.7</v>
      </c>
      <c r="I70">
        <v>5.3</v>
      </c>
      <c r="J70">
        <v>6.3</v>
      </c>
      <c r="L70" s="1">
        <v>45867</v>
      </c>
      <c r="M70">
        <v>60</v>
      </c>
      <c r="N70">
        <v>137</v>
      </c>
      <c r="O70">
        <v>95</v>
      </c>
      <c r="P70">
        <v>5</v>
      </c>
      <c r="Q70">
        <v>7</v>
      </c>
      <c r="R70">
        <v>9.5</v>
      </c>
      <c r="S70">
        <v>3.5</v>
      </c>
      <c r="T70">
        <v>3.8</v>
      </c>
      <c r="U70">
        <v>6.2</v>
      </c>
      <c r="V70">
        <v>3.5</v>
      </c>
      <c r="W70">
        <v>4.5</v>
      </c>
      <c r="X70">
        <v>5.2</v>
      </c>
      <c r="Y70">
        <v>5.2</v>
      </c>
      <c r="Z70">
        <v>61</v>
      </c>
      <c r="AA70">
        <v>11</v>
      </c>
      <c r="AB70">
        <v>12</v>
      </c>
      <c r="AC70">
        <v>5</v>
      </c>
      <c r="AD70">
        <v>11</v>
      </c>
      <c r="AE70">
        <v>11</v>
      </c>
    </row>
    <row r="71" spans="1:31" x14ac:dyDescent="0.2">
      <c r="A71" s="1">
        <v>45875</v>
      </c>
      <c r="B71">
        <v>21</v>
      </c>
      <c r="C71">
        <v>1</v>
      </c>
      <c r="D71">
        <v>3</v>
      </c>
      <c r="E71">
        <v>30</v>
      </c>
      <c r="F71">
        <v>40</v>
      </c>
      <c r="G71">
        <v>3.9</v>
      </c>
      <c r="H71">
        <v>1.6</v>
      </c>
      <c r="I71">
        <v>2.1</v>
      </c>
      <c r="J71">
        <v>0</v>
      </c>
      <c r="L71" s="1">
        <v>45867</v>
      </c>
      <c r="M71">
        <v>61</v>
      </c>
      <c r="N71">
        <v>162</v>
      </c>
      <c r="O71">
        <v>88</v>
      </c>
      <c r="P71">
        <v>4.5999999999999996</v>
      </c>
      <c r="Q71">
        <v>6.2</v>
      </c>
      <c r="R71">
        <v>4.7</v>
      </c>
      <c r="S71">
        <v>3.4</v>
      </c>
      <c r="T71">
        <v>7</v>
      </c>
      <c r="U71">
        <v>6.7</v>
      </c>
      <c r="V71">
        <v>3.6</v>
      </c>
      <c r="W71">
        <v>3.1</v>
      </c>
      <c r="X71">
        <v>3.7</v>
      </c>
      <c r="Y71">
        <v>3.3</v>
      </c>
      <c r="Z71">
        <v>77</v>
      </c>
      <c r="AA71">
        <v>19</v>
      </c>
      <c r="AB71">
        <v>17</v>
      </c>
      <c r="AC71">
        <v>3</v>
      </c>
      <c r="AD71">
        <v>9</v>
      </c>
      <c r="AE71">
        <v>18</v>
      </c>
    </row>
    <row r="72" spans="1:31" x14ac:dyDescent="0.2">
      <c r="A72" s="1">
        <v>45875</v>
      </c>
      <c r="B72">
        <v>21</v>
      </c>
      <c r="C72">
        <v>2</v>
      </c>
      <c r="D72">
        <v>2</v>
      </c>
      <c r="E72">
        <v>20</v>
      </c>
      <c r="F72">
        <v>30</v>
      </c>
      <c r="G72">
        <v>6.8</v>
      </c>
      <c r="H72">
        <v>4.2</v>
      </c>
      <c r="I72">
        <v>4</v>
      </c>
      <c r="J72">
        <v>6.1</v>
      </c>
      <c r="L72" s="1">
        <v>45867</v>
      </c>
      <c r="M72">
        <v>62</v>
      </c>
      <c r="N72">
        <v>14</v>
      </c>
      <c r="O72">
        <v>33</v>
      </c>
      <c r="P72">
        <v>5.8</v>
      </c>
      <c r="Q72">
        <v>6.2</v>
      </c>
      <c r="R72">
        <v>3.4</v>
      </c>
      <c r="S72">
        <v>2.7</v>
      </c>
      <c r="T72">
        <v>3.6</v>
      </c>
      <c r="U72">
        <v>6.1</v>
      </c>
      <c r="V72">
        <v>5.2</v>
      </c>
      <c r="W72">
        <v>3.4</v>
      </c>
      <c r="X72">
        <v>3.6</v>
      </c>
      <c r="Y72">
        <v>2.6</v>
      </c>
      <c r="Z72">
        <v>9</v>
      </c>
      <c r="AA72">
        <v>14</v>
      </c>
      <c r="AB72">
        <v>4</v>
      </c>
      <c r="AC72">
        <v>12</v>
      </c>
      <c r="AD72">
        <v>3</v>
      </c>
      <c r="AE72">
        <v>12</v>
      </c>
    </row>
    <row r="73" spans="1:31" x14ac:dyDescent="0.2">
      <c r="A73" s="1">
        <v>45875</v>
      </c>
      <c r="B73">
        <v>21</v>
      </c>
      <c r="C73">
        <v>3</v>
      </c>
      <c r="D73">
        <v>2</v>
      </c>
      <c r="E73">
        <v>10</v>
      </c>
      <c r="F73">
        <v>25</v>
      </c>
      <c r="G73">
        <v>9.4</v>
      </c>
      <c r="H73">
        <v>0</v>
      </c>
      <c r="I73">
        <v>7.5</v>
      </c>
      <c r="J73">
        <v>0</v>
      </c>
      <c r="L73" s="1">
        <v>45867</v>
      </c>
      <c r="M73">
        <v>63</v>
      </c>
      <c r="N73">
        <v>3</v>
      </c>
      <c r="O73">
        <v>8</v>
      </c>
      <c r="P73">
        <v>4.5999999999999996</v>
      </c>
      <c r="Q73">
        <v>3.2</v>
      </c>
      <c r="R73">
        <v>3.8</v>
      </c>
      <c r="S73">
        <v>2.9</v>
      </c>
      <c r="T73">
        <v>3.9</v>
      </c>
      <c r="U73">
        <v>6.3</v>
      </c>
      <c r="V73">
        <v>4</v>
      </c>
      <c r="W73">
        <v>2.1</v>
      </c>
      <c r="X73">
        <v>4.0999999999999996</v>
      </c>
      <c r="Y73">
        <v>5.2</v>
      </c>
      <c r="Z73">
        <v>5</v>
      </c>
      <c r="AA73">
        <v>14</v>
      </c>
      <c r="AB73">
        <v>6</v>
      </c>
      <c r="AC73">
        <v>2</v>
      </c>
      <c r="AD73">
        <v>11</v>
      </c>
      <c r="AE73">
        <v>2</v>
      </c>
    </row>
    <row r="74" spans="1:31" x14ac:dyDescent="0.2">
      <c r="A74" s="1">
        <v>45860</v>
      </c>
      <c r="B74">
        <v>22</v>
      </c>
      <c r="C74">
        <v>1</v>
      </c>
      <c r="D74">
        <v>0</v>
      </c>
      <c r="E74">
        <v>0</v>
      </c>
      <c r="F74">
        <v>10</v>
      </c>
      <c r="G74">
        <v>4.5</v>
      </c>
      <c r="H74">
        <v>0</v>
      </c>
      <c r="I74">
        <v>0</v>
      </c>
      <c r="J74">
        <v>0</v>
      </c>
      <c r="L74" s="1">
        <v>45867</v>
      </c>
      <c r="M74">
        <v>64</v>
      </c>
      <c r="N74">
        <v>132</v>
      </c>
      <c r="O74">
        <v>90</v>
      </c>
      <c r="P74">
        <v>3.6</v>
      </c>
      <c r="Q74">
        <v>4</v>
      </c>
      <c r="R74">
        <v>7.2</v>
      </c>
      <c r="S74">
        <v>3.6</v>
      </c>
      <c r="T74">
        <v>4.5</v>
      </c>
      <c r="U74">
        <v>5.2</v>
      </c>
      <c r="V74">
        <v>5.5</v>
      </c>
      <c r="W74">
        <v>5.0999999999999996</v>
      </c>
      <c r="X74">
        <v>6.2</v>
      </c>
      <c r="Y74">
        <v>5.6</v>
      </c>
      <c r="Z74">
        <v>86</v>
      </c>
      <c r="AA74">
        <v>7</v>
      </c>
      <c r="AB74">
        <v>6</v>
      </c>
      <c r="AC74">
        <v>6</v>
      </c>
      <c r="AD74">
        <v>4</v>
      </c>
      <c r="AE74">
        <v>7</v>
      </c>
    </row>
    <row r="75" spans="1:31" x14ac:dyDescent="0.2">
      <c r="A75" s="1">
        <v>45860</v>
      </c>
      <c r="B75">
        <v>22</v>
      </c>
      <c r="C75">
        <v>2</v>
      </c>
      <c r="D75">
        <v>0</v>
      </c>
      <c r="E75">
        <v>0</v>
      </c>
      <c r="F75">
        <v>10</v>
      </c>
      <c r="G75">
        <v>2.5</v>
      </c>
      <c r="H75">
        <v>0</v>
      </c>
      <c r="I75">
        <v>0</v>
      </c>
      <c r="J75">
        <v>0</v>
      </c>
    </row>
    <row r="76" spans="1:31" x14ac:dyDescent="0.2">
      <c r="A76" s="1">
        <v>45860</v>
      </c>
      <c r="B76">
        <v>22</v>
      </c>
      <c r="C76">
        <v>3</v>
      </c>
      <c r="D76">
        <v>1</v>
      </c>
      <c r="E76">
        <v>0</v>
      </c>
      <c r="F76">
        <v>25</v>
      </c>
      <c r="G76">
        <v>8.1999999999999993</v>
      </c>
      <c r="H76">
        <v>0</v>
      </c>
      <c r="I76">
        <v>0</v>
      </c>
      <c r="J76">
        <v>0</v>
      </c>
    </row>
    <row r="77" spans="1:31" x14ac:dyDescent="0.2">
      <c r="A77" s="1">
        <v>45860</v>
      </c>
      <c r="B77">
        <v>23</v>
      </c>
      <c r="C77">
        <v>1</v>
      </c>
      <c r="D77">
        <v>3</v>
      </c>
      <c r="E77">
        <v>10</v>
      </c>
      <c r="F77">
        <v>80</v>
      </c>
      <c r="G77">
        <v>14</v>
      </c>
      <c r="H77">
        <v>0</v>
      </c>
      <c r="I77">
        <v>2.1</v>
      </c>
      <c r="J77">
        <v>2.1</v>
      </c>
    </row>
    <row r="78" spans="1:31" x14ac:dyDescent="0.2">
      <c r="A78" s="1">
        <v>45860</v>
      </c>
      <c r="B78">
        <v>23</v>
      </c>
      <c r="C78">
        <v>2</v>
      </c>
      <c r="D78">
        <v>4</v>
      </c>
      <c r="E78">
        <v>5</v>
      </c>
      <c r="F78">
        <v>85</v>
      </c>
      <c r="G78">
        <v>9.3000000000000007</v>
      </c>
      <c r="H78">
        <v>6.1</v>
      </c>
      <c r="I78">
        <v>8.5</v>
      </c>
      <c r="J78">
        <v>8.3000000000000007</v>
      </c>
    </row>
    <row r="79" spans="1:31" x14ac:dyDescent="0.2">
      <c r="A79" s="1">
        <v>45860</v>
      </c>
      <c r="B79">
        <v>23</v>
      </c>
      <c r="C79">
        <v>3</v>
      </c>
      <c r="D79">
        <v>4</v>
      </c>
      <c r="E79">
        <v>40</v>
      </c>
      <c r="F79">
        <v>45</v>
      </c>
      <c r="G79">
        <v>8.8000000000000007</v>
      </c>
      <c r="H79">
        <v>6.1</v>
      </c>
      <c r="I79">
        <v>3</v>
      </c>
      <c r="J79">
        <v>5.2</v>
      </c>
    </row>
    <row r="80" spans="1:31" x14ac:dyDescent="0.2">
      <c r="A80" s="1">
        <v>45860</v>
      </c>
      <c r="B80">
        <v>24</v>
      </c>
      <c r="C80">
        <v>1</v>
      </c>
      <c r="D80">
        <v>2</v>
      </c>
      <c r="E80">
        <v>10</v>
      </c>
      <c r="F80">
        <v>50</v>
      </c>
      <c r="G80">
        <v>14.4</v>
      </c>
      <c r="H80">
        <v>4.0999999999999996</v>
      </c>
      <c r="I80">
        <v>4.7</v>
      </c>
      <c r="J80">
        <v>0</v>
      </c>
    </row>
    <row r="81" spans="1:10" x14ac:dyDescent="0.2">
      <c r="A81" s="1">
        <v>45860</v>
      </c>
      <c r="B81">
        <v>24</v>
      </c>
      <c r="C81">
        <v>2</v>
      </c>
      <c r="D81">
        <v>3</v>
      </c>
      <c r="E81">
        <v>5</v>
      </c>
      <c r="F81">
        <v>50</v>
      </c>
      <c r="G81">
        <v>12.4</v>
      </c>
      <c r="H81">
        <v>0</v>
      </c>
      <c r="I81">
        <v>5.6</v>
      </c>
      <c r="J81">
        <v>3.4</v>
      </c>
    </row>
    <row r="82" spans="1:10" x14ac:dyDescent="0.2">
      <c r="A82" s="1">
        <v>45860</v>
      </c>
      <c r="B82">
        <v>24</v>
      </c>
      <c r="C82">
        <v>3</v>
      </c>
      <c r="D82">
        <v>2</v>
      </c>
      <c r="E82">
        <v>10</v>
      </c>
      <c r="F82">
        <v>10</v>
      </c>
      <c r="G82">
        <v>13.8</v>
      </c>
      <c r="H82">
        <v>0</v>
      </c>
      <c r="I82">
        <v>0</v>
      </c>
      <c r="J82">
        <v>8.4</v>
      </c>
    </row>
    <row r="83" spans="1:10" x14ac:dyDescent="0.2">
      <c r="A83" s="1">
        <v>45860</v>
      </c>
      <c r="B83">
        <v>25</v>
      </c>
      <c r="C83">
        <v>1</v>
      </c>
      <c r="D83">
        <v>2</v>
      </c>
      <c r="E83">
        <v>5</v>
      </c>
      <c r="F83">
        <v>25</v>
      </c>
      <c r="G83">
        <v>9.6</v>
      </c>
      <c r="H83">
        <v>0</v>
      </c>
      <c r="I83">
        <v>5</v>
      </c>
      <c r="J83">
        <v>1.7</v>
      </c>
    </row>
    <row r="84" spans="1:10" x14ac:dyDescent="0.2">
      <c r="A84" s="1">
        <v>45860</v>
      </c>
      <c r="B84">
        <v>25</v>
      </c>
      <c r="C84">
        <v>2</v>
      </c>
      <c r="D84">
        <v>1</v>
      </c>
      <c r="E84">
        <v>5</v>
      </c>
      <c r="F84">
        <v>20</v>
      </c>
      <c r="G84">
        <v>4</v>
      </c>
      <c r="H84">
        <v>0.5</v>
      </c>
      <c r="I84">
        <v>0</v>
      </c>
      <c r="J84">
        <v>0.5</v>
      </c>
    </row>
    <row r="85" spans="1:10" x14ac:dyDescent="0.2">
      <c r="A85" s="1">
        <v>45860</v>
      </c>
      <c r="B85">
        <v>25</v>
      </c>
      <c r="C85">
        <v>3</v>
      </c>
      <c r="D85">
        <v>3</v>
      </c>
      <c r="E85">
        <v>5</v>
      </c>
      <c r="F85">
        <v>25</v>
      </c>
      <c r="G85">
        <v>8.1999999999999993</v>
      </c>
      <c r="H85">
        <v>0</v>
      </c>
      <c r="I85">
        <v>2.1</v>
      </c>
      <c r="J85">
        <v>2.2000000000000002</v>
      </c>
    </row>
    <row r="86" spans="1:10" x14ac:dyDescent="0.2">
      <c r="A86" s="1">
        <v>45860</v>
      </c>
      <c r="B86">
        <v>26</v>
      </c>
      <c r="C86">
        <v>1</v>
      </c>
      <c r="D86">
        <v>2</v>
      </c>
      <c r="E86">
        <v>2</v>
      </c>
      <c r="F86">
        <v>5</v>
      </c>
      <c r="G86">
        <v>8</v>
      </c>
      <c r="H86">
        <v>0</v>
      </c>
      <c r="I86">
        <v>0</v>
      </c>
      <c r="J86">
        <v>6</v>
      </c>
    </row>
    <row r="87" spans="1:10" x14ac:dyDescent="0.2">
      <c r="A87" s="1">
        <v>45860</v>
      </c>
      <c r="B87">
        <v>26</v>
      </c>
      <c r="C87">
        <v>2</v>
      </c>
      <c r="D87">
        <v>1</v>
      </c>
      <c r="E87">
        <v>5</v>
      </c>
      <c r="F87">
        <v>35</v>
      </c>
      <c r="G87">
        <v>14.3</v>
      </c>
      <c r="H87">
        <v>0</v>
      </c>
      <c r="I87">
        <v>6.2</v>
      </c>
      <c r="J87">
        <v>0</v>
      </c>
    </row>
    <row r="88" spans="1:10" x14ac:dyDescent="0.2">
      <c r="A88" s="1">
        <v>45860</v>
      </c>
      <c r="B88">
        <v>26</v>
      </c>
      <c r="C88">
        <v>3</v>
      </c>
      <c r="D88">
        <v>4</v>
      </c>
      <c r="E88">
        <v>50</v>
      </c>
      <c r="F88">
        <v>70</v>
      </c>
      <c r="G88">
        <v>8.1</v>
      </c>
      <c r="H88">
        <v>7</v>
      </c>
      <c r="I88">
        <v>4.0999999999999996</v>
      </c>
      <c r="J88">
        <v>0</v>
      </c>
    </row>
    <row r="89" spans="1:10" x14ac:dyDescent="0.2">
      <c r="A89" s="1">
        <v>45860</v>
      </c>
      <c r="B89">
        <v>27</v>
      </c>
      <c r="C89">
        <v>1</v>
      </c>
      <c r="D89">
        <v>2</v>
      </c>
      <c r="E89">
        <v>12</v>
      </c>
      <c r="F89">
        <v>15</v>
      </c>
      <c r="G89">
        <v>9.1</v>
      </c>
      <c r="H89">
        <v>4.4000000000000004</v>
      </c>
      <c r="I89">
        <v>6.2</v>
      </c>
      <c r="J89">
        <v>0</v>
      </c>
    </row>
    <row r="90" spans="1:10" x14ac:dyDescent="0.2">
      <c r="A90" s="1">
        <v>45860</v>
      </c>
      <c r="B90">
        <v>27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">
      <c r="A91" s="1">
        <v>45860</v>
      </c>
      <c r="B91">
        <v>27</v>
      </c>
      <c r="C91">
        <v>3</v>
      </c>
      <c r="D91">
        <v>3</v>
      </c>
      <c r="E91">
        <v>5</v>
      </c>
      <c r="F91">
        <v>20</v>
      </c>
      <c r="G91">
        <v>9.5</v>
      </c>
      <c r="H91">
        <v>5.0999999999999996</v>
      </c>
      <c r="I91">
        <v>4.2</v>
      </c>
      <c r="J91">
        <v>0</v>
      </c>
    </row>
    <row r="92" spans="1:10" x14ac:dyDescent="0.2">
      <c r="A92" s="1">
        <v>45860</v>
      </c>
      <c r="B92">
        <v>28</v>
      </c>
      <c r="C92">
        <v>1</v>
      </c>
      <c r="D92">
        <v>3</v>
      </c>
      <c r="E92">
        <v>10</v>
      </c>
      <c r="F92">
        <v>20</v>
      </c>
      <c r="G92">
        <v>11.4</v>
      </c>
      <c r="H92">
        <v>4.4000000000000004</v>
      </c>
      <c r="I92">
        <v>9.3000000000000007</v>
      </c>
      <c r="J92">
        <v>0</v>
      </c>
    </row>
    <row r="93" spans="1:10" x14ac:dyDescent="0.2">
      <c r="A93" s="1">
        <v>45860</v>
      </c>
      <c r="B93">
        <v>28</v>
      </c>
      <c r="C93">
        <v>2</v>
      </c>
      <c r="D93">
        <v>6</v>
      </c>
      <c r="E93">
        <v>40</v>
      </c>
      <c r="F93">
        <v>100</v>
      </c>
      <c r="G93">
        <v>10.5</v>
      </c>
      <c r="H93">
        <v>1.2</v>
      </c>
      <c r="I93">
        <v>4.2</v>
      </c>
      <c r="J93">
        <v>5.8</v>
      </c>
    </row>
    <row r="94" spans="1:10" x14ac:dyDescent="0.2">
      <c r="A94" s="1">
        <v>45860</v>
      </c>
      <c r="B94">
        <v>28</v>
      </c>
      <c r="C94">
        <v>3</v>
      </c>
      <c r="D94">
        <v>3</v>
      </c>
      <c r="E94">
        <v>80</v>
      </c>
      <c r="F94">
        <v>90</v>
      </c>
      <c r="G94">
        <v>22.5</v>
      </c>
      <c r="H94">
        <v>12.8</v>
      </c>
      <c r="I94">
        <v>8.5</v>
      </c>
      <c r="J94">
        <v>7.9</v>
      </c>
    </row>
    <row r="95" spans="1:10" x14ac:dyDescent="0.2">
      <c r="A95" s="1">
        <v>45860</v>
      </c>
      <c r="B95">
        <v>29</v>
      </c>
      <c r="C95">
        <v>1</v>
      </c>
      <c r="D95">
        <v>0</v>
      </c>
      <c r="E95">
        <v>0</v>
      </c>
      <c r="F95">
        <v>1</v>
      </c>
      <c r="G95">
        <v>1.1000000000000001</v>
      </c>
      <c r="H95">
        <v>0</v>
      </c>
      <c r="I95">
        <v>0</v>
      </c>
      <c r="J95">
        <v>0</v>
      </c>
    </row>
    <row r="96" spans="1:10" x14ac:dyDescent="0.2">
      <c r="A96" s="1">
        <v>45860</v>
      </c>
      <c r="B96">
        <v>29</v>
      </c>
      <c r="C96">
        <v>2</v>
      </c>
      <c r="D96">
        <v>4</v>
      </c>
      <c r="E96">
        <v>10</v>
      </c>
      <c r="F96">
        <v>70</v>
      </c>
      <c r="G96">
        <v>10.9</v>
      </c>
      <c r="H96">
        <v>4.0999999999999996</v>
      </c>
      <c r="I96">
        <v>5.3</v>
      </c>
      <c r="J96">
        <v>2.2999999999999998</v>
      </c>
    </row>
    <row r="97" spans="1:10" x14ac:dyDescent="0.2">
      <c r="A97" s="1">
        <v>45860</v>
      </c>
      <c r="B97">
        <v>29</v>
      </c>
      <c r="C97">
        <v>3</v>
      </c>
      <c r="D97">
        <v>2</v>
      </c>
      <c r="E97">
        <v>60</v>
      </c>
      <c r="F97">
        <v>85</v>
      </c>
      <c r="G97">
        <v>14</v>
      </c>
      <c r="H97">
        <v>7.1</v>
      </c>
      <c r="I97">
        <v>7</v>
      </c>
      <c r="J97">
        <v>3</v>
      </c>
    </row>
    <row r="98" spans="1:10" x14ac:dyDescent="0.2">
      <c r="A98" s="1">
        <v>45860</v>
      </c>
      <c r="B98">
        <v>30</v>
      </c>
      <c r="C98">
        <v>1</v>
      </c>
      <c r="D98">
        <v>1</v>
      </c>
      <c r="E98">
        <v>5</v>
      </c>
      <c r="F98">
        <v>15</v>
      </c>
      <c r="G98">
        <v>8.4</v>
      </c>
      <c r="H98">
        <v>0</v>
      </c>
      <c r="I98">
        <v>0</v>
      </c>
      <c r="J98">
        <v>4.3</v>
      </c>
    </row>
    <row r="99" spans="1:10" x14ac:dyDescent="0.2">
      <c r="A99" s="1">
        <v>45860</v>
      </c>
      <c r="B99">
        <v>30</v>
      </c>
      <c r="C99">
        <v>2</v>
      </c>
      <c r="D99">
        <v>2</v>
      </c>
      <c r="E99">
        <v>20</v>
      </c>
      <c r="F99">
        <v>90</v>
      </c>
      <c r="G99">
        <v>5.8</v>
      </c>
      <c r="H99">
        <v>0</v>
      </c>
      <c r="I99">
        <v>5.3</v>
      </c>
      <c r="J99">
        <v>5.4</v>
      </c>
    </row>
    <row r="100" spans="1:10" x14ac:dyDescent="0.2">
      <c r="A100" s="1">
        <v>45860</v>
      </c>
      <c r="B100">
        <v>30</v>
      </c>
      <c r="C100">
        <v>3</v>
      </c>
      <c r="D100">
        <v>2</v>
      </c>
      <c r="E100">
        <v>40</v>
      </c>
      <c r="F100">
        <v>50</v>
      </c>
      <c r="G100">
        <v>18.899999999999999</v>
      </c>
      <c r="H100">
        <v>4.0999999999999996</v>
      </c>
      <c r="I100">
        <v>2</v>
      </c>
      <c r="J100">
        <v>9.1</v>
      </c>
    </row>
    <row r="101" spans="1:10" x14ac:dyDescent="0.2">
      <c r="A101" s="1">
        <v>45860</v>
      </c>
      <c r="B101">
        <v>31</v>
      </c>
      <c r="C101">
        <v>1</v>
      </c>
      <c r="D101">
        <v>4</v>
      </c>
      <c r="E101">
        <v>20</v>
      </c>
      <c r="F101">
        <v>40</v>
      </c>
      <c r="G101">
        <v>11.3</v>
      </c>
      <c r="H101">
        <v>9.6</v>
      </c>
      <c r="I101">
        <v>3.9</v>
      </c>
      <c r="J101">
        <v>0</v>
      </c>
    </row>
    <row r="102" spans="1:10" x14ac:dyDescent="0.2">
      <c r="A102" s="1">
        <v>45860</v>
      </c>
      <c r="B102">
        <v>31</v>
      </c>
      <c r="C102">
        <v>2</v>
      </c>
      <c r="D102">
        <v>7</v>
      </c>
      <c r="E102">
        <v>35</v>
      </c>
      <c r="F102">
        <v>95</v>
      </c>
      <c r="G102">
        <v>8.8000000000000007</v>
      </c>
      <c r="H102">
        <v>4.5999999999999996</v>
      </c>
      <c r="I102">
        <v>5.2</v>
      </c>
      <c r="J102">
        <v>3</v>
      </c>
    </row>
    <row r="103" spans="1:10" x14ac:dyDescent="0.2">
      <c r="A103" s="1">
        <v>45860</v>
      </c>
      <c r="B103">
        <v>31</v>
      </c>
      <c r="C103">
        <v>3</v>
      </c>
      <c r="D103">
        <v>3</v>
      </c>
      <c r="E103">
        <v>85</v>
      </c>
      <c r="F103">
        <v>90</v>
      </c>
      <c r="G103">
        <v>11.1</v>
      </c>
      <c r="H103">
        <v>6.9</v>
      </c>
      <c r="I103">
        <v>2</v>
      </c>
      <c r="J103">
        <v>10</v>
      </c>
    </row>
    <row r="104" spans="1:10" x14ac:dyDescent="0.2">
      <c r="A104" s="1">
        <v>45860</v>
      </c>
      <c r="B104">
        <v>32</v>
      </c>
      <c r="C104">
        <v>1</v>
      </c>
      <c r="D104">
        <v>0</v>
      </c>
      <c r="E104">
        <v>1</v>
      </c>
      <c r="F104">
        <v>2</v>
      </c>
      <c r="G104">
        <v>3.5</v>
      </c>
      <c r="H104">
        <v>0</v>
      </c>
      <c r="I104">
        <v>0</v>
      </c>
      <c r="J104">
        <v>0</v>
      </c>
    </row>
    <row r="105" spans="1:10" x14ac:dyDescent="0.2">
      <c r="A105" s="1">
        <v>45860</v>
      </c>
      <c r="B105">
        <v>32</v>
      </c>
      <c r="C105">
        <v>2</v>
      </c>
      <c r="D105">
        <v>1</v>
      </c>
      <c r="E105">
        <v>0</v>
      </c>
      <c r="F105">
        <v>5</v>
      </c>
      <c r="G105">
        <v>4.0999999999999996</v>
      </c>
      <c r="H105">
        <v>0</v>
      </c>
      <c r="I105">
        <v>0</v>
      </c>
      <c r="J105">
        <v>0</v>
      </c>
    </row>
    <row r="106" spans="1:10" x14ac:dyDescent="0.2">
      <c r="A106" s="1">
        <v>45860</v>
      </c>
      <c r="B106">
        <v>32</v>
      </c>
      <c r="C106">
        <v>3</v>
      </c>
      <c r="D106">
        <v>1</v>
      </c>
      <c r="E106">
        <v>10</v>
      </c>
      <c r="F106">
        <v>20</v>
      </c>
      <c r="G106">
        <v>12.8</v>
      </c>
      <c r="H106">
        <v>0</v>
      </c>
      <c r="I106">
        <v>0</v>
      </c>
      <c r="J106">
        <v>0.5</v>
      </c>
    </row>
    <row r="107" spans="1:10" x14ac:dyDescent="0.2">
      <c r="A107" s="1">
        <v>45860</v>
      </c>
      <c r="B107">
        <v>33</v>
      </c>
      <c r="C107">
        <v>1</v>
      </c>
      <c r="D107">
        <v>2</v>
      </c>
      <c r="E107">
        <v>5</v>
      </c>
      <c r="F107">
        <v>10</v>
      </c>
      <c r="G107">
        <v>5</v>
      </c>
      <c r="H107">
        <v>0</v>
      </c>
      <c r="I107">
        <v>0</v>
      </c>
      <c r="J107">
        <v>2.1</v>
      </c>
    </row>
    <row r="108" spans="1:10" x14ac:dyDescent="0.2">
      <c r="A108" s="1">
        <v>45860</v>
      </c>
      <c r="B108">
        <v>33</v>
      </c>
      <c r="C108">
        <v>2</v>
      </c>
      <c r="D108">
        <v>1</v>
      </c>
      <c r="E108">
        <v>10</v>
      </c>
      <c r="F108">
        <v>25</v>
      </c>
      <c r="G108">
        <v>11.1</v>
      </c>
      <c r="H108">
        <v>0</v>
      </c>
      <c r="I108">
        <v>0</v>
      </c>
      <c r="J108">
        <v>5</v>
      </c>
    </row>
    <row r="109" spans="1:10" x14ac:dyDescent="0.2">
      <c r="A109" s="1">
        <v>45860</v>
      </c>
      <c r="B109">
        <v>33</v>
      </c>
      <c r="C109">
        <v>3</v>
      </c>
      <c r="D109">
        <v>1</v>
      </c>
      <c r="E109">
        <v>5</v>
      </c>
      <c r="F109">
        <v>25</v>
      </c>
      <c r="G109">
        <v>10.3</v>
      </c>
      <c r="H109">
        <v>0</v>
      </c>
      <c r="I109">
        <v>4.9000000000000004</v>
      </c>
      <c r="J109">
        <v>3.6</v>
      </c>
    </row>
    <row r="110" spans="1:10" x14ac:dyDescent="0.2">
      <c r="A110" s="1">
        <v>45860</v>
      </c>
      <c r="B110">
        <v>34</v>
      </c>
      <c r="C110">
        <v>1</v>
      </c>
      <c r="D110">
        <v>2</v>
      </c>
      <c r="E110">
        <v>50</v>
      </c>
      <c r="F110">
        <v>100</v>
      </c>
      <c r="G110">
        <v>8.6</v>
      </c>
      <c r="H110">
        <v>8.6</v>
      </c>
      <c r="I110">
        <v>3.9</v>
      </c>
      <c r="J110">
        <v>3.6</v>
      </c>
    </row>
    <row r="111" spans="1:10" x14ac:dyDescent="0.2">
      <c r="A111" s="1">
        <v>45860</v>
      </c>
      <c r="B111">
        <v>34</v>
      </c>
      <c r="C111">
        <v>2</v>
      </c>
      <c r="D111">
        <v>3</v>
      </c>
      <c r="E111">
        <v>2</v>
      </c>
      <c r="F111">
        <v>20</v>
      </c>
      <c r="G111">
        <v>6.9</v>
      </c>
      <c r="H111">
        <v>0</v>
      </c>
      <c r="I111">
        <v>4.3</v>
      </c>
      <c r="J111">
        <v>5</v>
      </c>
    </row>
    <row r="112" spans="1:10" x14ac:dyDescent="0.2">
      <c r="A112" s="1">
        <v>45860</v>
      </c>
      <c r="B112">
        <v>34</v>
      </c>
      <c r="C112">
        <v>3</v>
      </c>
      <c r="D112">
        <v>3</v>
      </c>
      <c r="E112">
        <v>30</v>
      </c>
      <c r="F112">
        <v>50</v>
      </c>
      <c r="G112">
        <v>9.6999999999999993</v>
      </c>
      <c r="H112">
        <v>5.2</v>
      </c>
      <c r="I112">
        <v>0</v>
      </c>
      <c r="J112">
        <v>3.2</v>
      </c>
    </row>
    <row r="113" spans="1:10" x14ac:dyDescent="0.2">
      <c r="A113" s="1">
        <v>45860</v>
      </c>
      <c r="B113">
        <v>35</v>
      </c>
      <c r="C113">
        <v>1</v>
      </c>
      <c r="D113">
        <v>2</v>
      </c>
      <c r="E113">
        <v>1</v>
      </c>
      <c r="F113">
        <v>5</v>
      </c>
      <c r="G113">
        <v>6.6</v>
      </c>
      <c r="H113">
        <v>5.4</v>
      </c>
      <c r="I113">
        <v>2</v>
      </c>
      <c r="J113">
        <v>2.1</v>
      </c>
    </row>
    <row r="114" spans="1:10" x14ac:dyDescent="0.2">
      <c r="A114" s="1">
        <v>45860</v>
      </c>
      <c r="B114">
        <v>35</v>
      </c>
      <c r="C114">
        <v>2</v>
      </c>
      <c r="D114">
        <v>1</v>
      </c>
      <c r="E114">
        <v>2</v>
      </c>
      <c r="F114">
        <v>10</v>
      </c>
      <c r="G114">
        <v>10.1</v>
      </c>
      <c r="H114">
        <v>0</v>
      </c>
      <c r="I114">
        <v>0</v>
      </c>
      <c r="J114">
        <v>1.9</v>
      </c>
    </row>
    <row r="115" spans="1:10" x14ac:dyDescent="0.2">
      <c r="A115" s="1">
        <v>45860</v>
      </c>
      <c r="B115">
        <v>35</v>
      </c>
      <c r="C115">
        <v>3</v>
      </c>
      <c r="D115">
        <v>0</v>
      </c>
      <c r="E115">
        <v>0</v>
      </c>
      <c r="F115">
        <v>1</v>
      </c>
      <c r="G115">
        <v>2.2000000000000002</v>
      </c>
      <c r="H115">
        <v>0</v>
      </c>
      <c r="I115">
        <v>0</v>
      </c>
      <c r="J115">
        <v>0</v>
      </c>
    </row>
    <row r="116" spans="1:10" x14ac:dyDescent="0.2">
      <c r="A116" s="1">
        <v>45860</v>
      </c>
      <c r="B116">
        <v>36</v>
      </c>
      <c r="C116">
        <v>1</v>
      </c>
      <c r="D116">
        <v>4</v>
      </c>
      <c r="E116">
        <v>65</v>
      </c>
      <c r="F116">
        <v>75</v>
      </c>
      <c r="G116">
        <v>8</v>
      </c>
      <c r="H116">
        <v>3</v>
      </c>
      <c r="I116">
        <v>4.4000000000000004</v>
      </c>
      <c r="J116">
        <v>4.7</v>
      </c>
    </row>
    <row r="117" spans="1:10" x14ac:dyDescent="0.2">
      <c r="A117" s="1">
        <v>45860</v>
      </c>
      <c r="B117">
        <v>36</v>
      </c>
      <c r="C117">
        <v>2</v>
      </c>
      <c r="D117">
        <v>6</v>
      </c>
      <c r="E117">
        <v>50</v>
      </c>
      <c r="F117">
        <v>75</v>
      </c>
      <c r="G117">
        <v>14.1</v>
      </c>
      <c r="H117">
        <v>9.1999999999999993</v>
      </c>
      <c r="I117">
        <v>11.3</v>
      </c>
      <c r="J117">
        <v>3.4</v>
      </c>
    </row>
    <row r="118" spans="1:10" x14ac:dyDescent="0.2">
      <c r="A118" s="1">
        <v>45860</v>
      </c>
      <c r="B118">
        <v>36</v>
      </c>
      <c r="C118">
        <v>3</v>
      </c>
      <c r="D118">
        <v>5</v>
      </c>
      <c r="E118">
        <v>90</v>
      </c>
      <c r="F118">
        <v>95</v>
      </c>
      <c r="G118">
        <v>12.5</v>
      </c>
      <c r="H118">
        <v>7.2</v>
      </c>
      <c r="I118">
        <v>10.1</v>
      </c>
      <c r="J118">
        <v>9.8000000000000007</v>
      </c>
    </row>
    <row r="119" spans="1:10" x14ac:dyDescent="0.2">
      <c r="A119" s="1">
        <v>45860</v>
      </c>
      <c r="B119">
        <v>37</v>
      </c>
      <c r="C119">
        <v>1</v>
      </c>
      <c r="D119">
        <v>3</v>
      </c>
      <c r="E119">
        <v>5</v>
      </c>
      <c r="F119">
        <v>20</v>
      </c>
      <c r="G119">
        <v>7.1</v>
      </c>
      <c r="H119">
        <v>0</v>
      </c>
      <c r="I119">
        <v>6.6</v>
      </c>
      <c r="J119">
        <v>3.2</v>
      </c>
    </row>
    <row r="120" spans="1:10" x14ac:dyDescent="0.2">
      <c r="A120" s="1">
        <v>45860</v>
      </c>
      <c r="B120">
        <v>37</v>
      </c>
      <c r="C120">
        <v>2</v>
      </c>
      <c r="D120">
        <v>1</v>
      </c>
      <c r="E120">
        <v>1</v>
      </c>
      <c r="F120">
        <v>2</v>
      </c>
      <c r="G120">
        <v>6.2</v>
      </c>
      <c r="H120">
        <v>0</v>
      </c>
      <c r="I120">
        <v>0</v>
      </c>
      <c r="J120">
        <v>0</v>
      </c>
    </row>
    <row r="121" spans="1:10" x14ac:dyDescent="0.2">
      <c r="A121" s="1">
        <v>45860</v>
      </c>
      <c r="B121">
        <v>37</v>
      </c>
      <c r="C121">
        <v>3</v>
      </c>
      <c r="D121">
        <v>1</v>
      </c>
      <c r="E121">
        <v>3</v>
      </c>
      <c r="F121">
        <v>3</v>
      </c>
      <c r="G121">
        <v>2.9</v>
      </c>
      <c r="H121">
        <v>0</v>
      </c>
      <c r="I121">
        <v>0</v>
      </c>
      <c r="J121">
        <v>0</v>
      </c>
    </row>
    <row r="122" spans="1:10" x14ac:dyDescent="0.2">
      <c r="A122" s="1">
        <v>45860</v>
      </c>
      <c r="B122">
        <v>38</v>
      </c>
      <c r="C122">
        <v>1</v>
      </c>
      <c r="D122">
        <v>3</v>
      </c>
      <c r="E122">
        <v>30</v>
      </c>
      <c r="F122">
        <v>60</v>
      </c>
      <c r="G122">
        <v>11.6</v>
      </c>
      <c r="H122">
        <v>5.8</v>
      </c>
      <c r="I122">
        <v>8.1</v>
      </c>
      <c r="J122">
        <v>3.2</v>
      </c>
    </row>
    <row r="123" spans="1:10" x14ac:dyDescent="0.2">
      <c r="A123" s="1">
        <v>45860</v>
      </c>
      <c r="B123">
        <v>38</v>
      </c>
      <c r="C123">
        <v>2</v>
      </c>
      <c r="D123">
        <v>4</v>
      </c>
      <c r="E123">
        <v>25</v>
      </c>
      <c r="F123">
        <v>40</v>
      </c>
      <c r="G123">
        <v>15.1</v>
      </c>
      <c r="H123">
        <v>8.1999999999999993</v>
      </c>
      <c r="I123">
        <v>3.4</v>
      </c>
      <c r="J123">
        <v>5.7</v>
      </c>
    </row>
    <row r="124" spans="1:10" x14ac:dyDescent="0.2">
      <c r="A124" s="1">
        <v>45860</v>
      </c>
      <c r="B124">
        <v>38</v>
      </c>
      <c r="C124">
        <v>3</v>
      </c>
      <c r="D124">
        <v>6</v>
      </c>
      <c r="E124">
        <v>60</v>
      </c>
      <c r="F124">
        <v>85</v>
      </c>
      <c r="G124">
        <v>18.600000000000001</v>
      </c>
      <c r="H124">
        <v>13.5</v>
      </c>
      <c r="I124">
        <v>13.3</v>
      </c>
      <c r="J124">
        <v>10.9</v>
      </c>
    </row>
    <row r="125" spans="1:10" x14ac:dyDescent="0.2">
      <c r="A125" s="1">
        <v>45860</v>
      </c>
      <c r="B125">
        <v>39</v>
      </c>
      <c r="C125">
        <v>1</v>
      </c>
      <c r="D125">
        <v>3</v>
      </c>
      <c r="E125">
        <v>5</v>
      </c>
      <c r="F125">
        <v>15</v>
      </c>
      <c r="G125">
        <v>10</v>
      </c>
      <c r="H125">
        <v>0</v>
      </c>
      <c r="I125">
        <v>0</v>
      </c>
      <c r="J125">
        <v>6.5</v>
      </c>
    </row>
    <row r="126" spans="1:10" x14ac:dyDescent="0.2">
      <c r="A126" s="1">
        <v>45860</v>
      </c>
      <c r="B126">
        <v>39</v>
      </c>
      <c r="C126">
        <v>2</v>
      </c>
      <c r="D126">
        <v>0</v>
      </c>
      <c r="E126">
        <v>0</v>
      </c>
      <c r="F126">
        <v>5</v>
      </c>
      <c r="G126">
        <v>1.6</v>
      </c>
      <c r="H126">
        <v>0</v>
      </c>
      <c r="I126">
        <v>0</v>
      </c>
      <c r="J126">
        <v>1.2</v>
      </c>
    </row>
    <row r="127" spans="1:10" x14ac:dyDescent="0.2">
      <c r="A127" s="1">
        <v>45860</v>
      </c>
      <c r="B127">
        <v>39</v>
      </c>
      <c r="C127">
        <v>3</v>
      </c>
      <c r="D127">
        <v>2</v>
      </c>
      <c r="E127">
        <v>40</v>
      </c>
      <c r="F127">
        <v>50</v>
      </c>
      <c r="G127">
        <v>13.8</v>
      </c>
      <c r="H127">
        <v>0</v>
      </c>
      <c r="I127">
        <v>4</v>
      </c>
      <c r="J127">
        <v>0</v>
      </c>
    </row>
    <row r="128" spans="1:10" x14ac:dyDescent="0.2">
      <c r="A128" s="1">
        <v>45860</v>
      </c>
      <c r="B128">
        <v>40</v>
      </c>
      <c r="C128">
        <v>1</v>
      </c>
      <c r="D128">
        <v>5</v>
      </c>
      <c r="E128">
        <v>30</v>
      </c>
      <c r="F128">
        <v>100</v>
      </c>
      <c r="G128">
        <v>8.5</v>
      </c>
      <c r="H128">
        <v>2.8</v>
      </c>
      <c r="I128">
        <v>2.2000000000000002</v>
      </c>
      <c r="J128">
        <v>5.5</v>
      </c>
    </row>
    <row r="129" spans="1:10" x14ac:dyDescent="0.2">
      <c r="A129" s="1">
        <v>45860</v>
      </c>
      <c r="B129">
        <v>40</v>
      </c>
      <c r="C129">
        <v>2</v>
      </c>
      <c r="D129">
        <v>3</v>
      </c>
      <c r="E129">
        <v>10</v>
      </c>
      <c r="F129">
        <v>25</v>
      </c>
      <c r="G129">
        <v>13.1</v>
      </c>
      <c r="H129">
        <v>5.2</v>
      </c>
      <c r="I129">
        <v>3</v>
      </c>
      <c r="J129">
        <v>0</v>
      </c>
    </row>
    <row r="130" spans="1:10" x14ac:dyDescent="0.2">
      <c r="A130" s="1">
        <v>45860</v>
      </c>
      <c r="B130">
        <v>40</v>
      </c>
      <c r="C130">
        <v>3</v>
      </c>
      <c r="D130">
        <v>1</v>
      </c>
      <c r="E130">
        <v>10</v>
      </c>
      <c r="F130">
        <v>15</v>
      </c>
      <c r="G130">
        <v>3.3</v>
      </c>
      <c r="H130">
        <v>0</v>
      </c>
      <c r="I130">
        <v>0</v>
      </c>
      <c r="J130">
        <v>0</v>
      </c>
    </row>
    <row r="131" spans="1:10" x14ac:dyDescent="0.2">
      <c r="A131" s="1">
        <v>45860</v>
      </c>
      <c r="B131">
        <v>41</v>
      </c>
      <c r="C131">
        <v>1</v>
      </c>
      <c r="D131">
        <v>5</v>
      </c>
      <c r="E131">
        <v>40</v>
      </c>
      <c r="F131">
        <v>85</v>
      </c>
      <c r="G131">
        <v>12.1</v>
      </c>
      <c r="H131">
        <v>0</v>
      </c>
      <c r="I131">
        <v>3.8</v>
      </c>
      <c r="J131">
        <v>9.1999999999999993</v>
      </c>
    </row>
    <row r="132" spans="1:10" x14ac:dyDescent="0.2">
      <c r="A132" s="1">
        <v>45860</v>
      </c>
      <c r="B132">
        <v>41</v>
      </c>
      <c r="C132">
        <v>2</v>
      </c>
      <c r="D132">
        <v>2</v>
      </c>
      <c r="E132">
        <v>5</v>
      </c>
      <c r="F132">
        <v>40</v>
      </c>
      <c r="G132">
        <v>11.9</v>
      </c>
      <c r="H132">
        <v>5.8</v>
      </c>
      <c r="I132">
        <v>7.2</v>
      </c>
      <c r="J132">
        <v>4.5999999999999996</v>
      </c>
    </row>
    <row r="133" spans="1:10" x14ac:dyDescent="0.2">
      <c r="A133" s="1">
        <v>45860</v>
      </c>
      <c r="B133">
        <v>41</v>
      </c>
      <c r="C133">
        <v>3</v>
      </c>
      <c r="D133">
        <v>6</v>
      </c>
      <c r="E133">
        <v>85</v>
      </c>
      <c r="F133">
        <v>90</v>
      </c>
      <c r="G133">
        <v>18.100000000000001</v>
      </c>
      <c r="H133">
        <v>8.1</v>
      </c>
      <c r="I133">
        <v>5.5</v>
      </c>
      <c r="J133">
        <v>2</v>
      </c>
    </row>
    <row r="134" spans="1:10" x14ac:dyDescent="0.2">
      <c r="A134" s="1">
        <v>45860</v>
      </c>
      <c r="B134">
        <v>42</v>
      </c>
      <c r="C134">
        <v>1</v>
      </c>
      <c r="D134">
        <v>4</v>
      </c>
      <c r="E134">
        <v>10</v>
      </c>
      <c r="F134">
        <v>30</v>
      </c>
      <c r="G134">
        <v>10</v>
      </c>
      <c r="H134">
        <v>0</v>
      </c>
      <c r="I134">
        <v>5</v>
      </c>
      <c r="J134">
        <v>8.6</v>
      </c>
    </row>
    <row r="135" spans="1:10" x14ac:dyDescent="0.2">
      <c r="A135" s="1">
        <v>45860</v>
      </c>
      <c r="B135">
        <v>42</v>
      </c>
      <c r="C135">
        <v>2</v>
      </c>
      <c r="D135">
        <v>2</v>
      </c>
      <c r="E135">
        <v>5</v>
      </c>
      <c r="F135">
        <v>10</v>
      </c>
      <c r="G135">
        <v>4.9000000000000004</v>
      </c>
      <c r="H135">
        <v>4.7</v>
      </c>
      <c r="I135">
        <v>0</v>
      </c>
      <c r="J135">
        <v>3.8</v>
      </c>
    </row>
    <row r="136" spans="1:10" x14ac:dyDescent="0.2">
      <c r="A136" s="1">
        <v>45860</v>
      </c>
      <c r="B136">
        <v>42</v>
      </c>
      <c r="C136">
        <v>3</v>
      </c>
      <c r="D136">
        <v>3</v>
      </c>
      <c r="E136">
        <v>20</v>
      </c>
      <c r="F136">
        <v>45</v>
      </c>
      <c r="G136">
        <v>12.5</v>
      </c>
      <c r="H136">
        <v>3.9</v>
      </c>
      <c r="I136">
        <v>0</v>
      </c>
      <c r="J136">
        <v>4</v>
      </c>
    </row>
    <row r="137" spans="1:10" x14ac:dyDescent="0.2">
      <c r="A137" s="1">
        <v>45860</v>
      </c>
      <c r="B137">
        <v>43</v>
      </c>
      <c r="C137">
        <v>1</v>
      </c>
      <c r="D137">
        <v>2</v>
      </c>
      <c r="E137">
        <v>2</v>
      </c>
      <c r="F137">
        <v>10</v>
      </c>
      <c r="G137">
        <v>9.1</v>
      </c>
      <c r="H137">
        <v>0</v>
      </c>
      <c r="I137">
        <v>2.2000000000000002</v>
      </c>
      <c r="J137">
        <v>1.1000000000000001</v>
      </c>
    </row>
    <row r="138" spans="1:10" x14ac:dyDescent="0.2">
      <c r="A138" s="1">
        <v>45860</v>
      </c>
      <c r="B138">
        <v>43</v>
      </c>
      <c r="C138">
        <v>2</v>
      </c>
      <c r="D138">
        <v>3</v>
      </c>
      <c r="E138">
        <v>10</v>
      </c>
      <c r="F138">
        <v>70</v>
      </c>
      <c r="G138">
        <v>7.4</v>
      </c>
      <c r="H138">
        <v>1.3</v>
      </c>
      <c r="I138">
        <v>3.2</v>
      </c>
      <c r="J138">
        <v>4</v>
      </c>
    </row>
    <row r="139" spans="1:10" x14ac:dyDescent="0.2">
      <c r="A139" s="1">
        <v>45860</v>
      </c>
      <c r="B139">
        <v>43</v>
      </c>
      <c r="C139">
        <v>3</v>
      </c>
      <c r="D139">
        <v>1</v>
      </c>
      <c r="E139">
        <v>10</v>
      </c>
      <c r="F139">
        <v>50</v>
      </c>
      <c r="G139">
        <v>6</v>
      </c>
      <c r="H139">
        <v>2</v>
      </c>
      <c r="I139">
        <v>1</v>
      </c>
      <c r="J139">
        <v>2.1</v>
      </c>
    </row>
    <row r="140" spans="1:10" x14ac:dyDescent="0.2">
      <c r="A140" s="1">
        <v>45860</v>
      </c>
      <c r="B140">
        <v>44</v>
      </c>
      <c r="C140">
        <v>1</v>
      </c>
      <c r="D140">
        <v>0</v>
      </c>
      <c r="E140">
        <v>0</v>
      </c>
      <c r="F140">
        <v>3</v>
      </c>
      <c r="G140">
        <v>1.2</v>
      </c>
      <c r="H140">
        <v>0</v>
      </c>
      <c r="I140">
        <v>0</v>
      </c>
      <c r="J140">
        <v>0</v>
      </c>
    </row>
    <row r="141" spans="1:10" x14ac:dyDescent="0.2">
      <c r="A141" s="1">
        <v>45860</v>
      </c>
      <c r="B141">
        <v>44</v>
      </c>
      <c r="C141">
        <v>2</v>
      </c>
      <c r="D141">
        <v>3</v>
      </c>
      <c r="E141">
        <v>5</v>
      </c>
      <c r="F141">
        <v>50</v>
      </c>
      <c r="G141">
        <v>8.4</v>
      </c>
      <c r="H141">
        <v>3.1</v>
      </c>
      <c r="I141">
        <v>4.3</v>
      </c>
      <c r="J141">
        <v>5.4</v>
      </c>
    </row>
    <row r="142" spans="1:10" x14ac:dyDescent="0.2">
      <c r="A142" s="1">
        <v>45860</v>
      </c>
      <c r="B142">
        <v>44</v>
      </c>
      <c r="C142">
        <v>3</v>
      </c>
      <c r="D142">
        <v>3</v>
      </c>
      <c r="E142">
        <v>15</v>
      </c>
      <c r="F142">
        <v>80</v>
      </c>
      <c r="G142">
        <v>4.3</v>
      </c>
      <c r="H142">
        <v>3</v>
      </c>
      <c r="I142">
        <v>2</v>
      </c>
      <c r="J142">
        <v>0</v>
      </c>
    </row>
    <row r="143" spans="1:10" x14ac:dyDescent="0.2">
      <c r="A143" s="1">
        <v>45860</v>
      </c>
      <c r="B143">
        <v>45</v>
      </c>
      <c r="C143">
        <v>1</v>
      </c>
      <c r="D143">
        <v>1</v>
      </c>
      <c r="E143">
        <v>20</v>
      </c>
      <c r="F143">
        <v>25</v>
      </c>
      <c r="G143">
        <v>6.6</v>
      </c>
      <c r="H143">
        <v>2.1</v>
      </c>
      <c r="I143">
        <v>1.3</v>
      </c>
      <c r="J143">
        <v>0</v>
      </c>
    </row>
    <row r="144" spans="1:10" x14ac:dyDescent="0.2">
      <c r="A144" s="1">
        <v>45860</v>
      </c>
      <c r="B144">
        <v>45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 s="1">
        <v>45860</v>
      </c>
      <c r="B145">
        <v>45</v>
      </c>
      <c r="C145">
        <v>3</v>
      </c>
      <c r="D145">
        <v>1</v>
      </c>
      <c r="E145">
        <v>10</v>
      </c>
      <c r="F145">
        <v>10</v>
      </c>
      <c r="G145">
        <v>4.0999999999999996</v>
      </c>
      <c r="H145">
        <v>0</v>
      </c>
      <c r="I145">
        <v>0</v>
      </c>
      <c r="J145">
        <v>0</v>
      </c>
    </row>
    <row r="146" spans="1:10" x14ac:dyDescent="0.2">
      <c r="A146" s="1">
        <v>45860</v>
      </c>
      <c r="B146">
        <v>46</v>
      </c>
      <c r="C146">
        <v>1</v>
      </c>
      <c r="D146">
        <v>3</v>
      </c>
      <c r="E146">
        <v>5</v>
      </c>
      <c r="F146">
        <v>30</v>
      </c>
      <c r="G146">
        <v>7.1</v>
      </c>
      <c r="H146">
        <v>0</v>
      </c>
      <c r="I146">
        <v>2.4</v>
      </c>
      <c r="J146">
        <v>1.8</v>
      </c>
    </row>
    <row r="147" spans="1:10" x14ac:dyDescent="0.2">
      <c r="A147" s="1">
        <v>45860</v>
      </c>
      <c r="B147">
        <v>46</v>
      </c>
      <c r="C147">
        <v>2</v>
      </c>
      <c r="D147">
        <v>2</v>
      </c>
      <c r="E147">
        <v>5</v>
      </c>
      <c r="F147">
        <v>25</v>
      </c>
      <c r="G147">
        <v>12.3</v>
      </c>
      <c r="H147">
        <v>1.6</v>
      </c>
      <c r="I147">
        <v>2.8</v>
      </c>
      <c r="J147">
        <v>0</v>
      </c>
    </row>
    <row r="148" spans="1:10" x14ac:dyDescent="0.2">
      <c r="A148" s="1">
        <v>45860</v>
      </c>
      <c r="B148">
        <v>46</v>
      </c>
      <c r="C148">
        <v>3</v>
      </c>
      <c r="D148">
        <v>1</v>
      </c>
      <c r="E148">
        <v>60</v>
      </c>
      <c r="F148">
        <v>70</v>
      </c>
      <c r="G148">
        <v>9.5</v>
      </c>
      <c r="H148">
        <v>3</v>
      </c>
      <c r="I148">
        <v>3</v>
      </c>
      <c r="J148">
        <v>8</v>
      </c>
    </row>
    <row r="149" spans="1:10" x14ac:dyDescent="0.2">
      <c r="A149" s="1">
        <v>45860</v>
      </c>
      <c r="B149">
        <v>47</v>
      </c>
      <c r="C149">
        <v>1</v>
      </c>
      <c r="D149">
        <v>3</v>
      </c>
      <c r="E149">
        <v>3</v>
      </c>
      <c r="F149">
        <v>10</v>
      </c>
      <c r="G149">
        <v>6.8</v>
      </c>
      <c r="H149">
        <v>0</v>
      </c>
      <c r="I149">
        <v>2.1</v>
      </c>
      <c r="J149">
        <v>4.8</v>
      </c>
    </row>
    <row r="150" spans="1:10" x14ac:dyDescent="0.2">
      <c r="A150" s="1">
        <v>45860</v>
      </c>
      <c r="B150">
        <v>47</v>
      </c>
      <c r="C150">
        <v>2</v>
      </c>
      <c r="D150">
        <v>4</v>
      </c>
      <c r="E150">
        <v>20</v>
      </c>
      <c r="F150">
        <v>30</v>
      </c>
      <c r="G150">
        <v>15.3</v>
      </c>
      <c r="H150">
        <v>9.9</v>
      </c>
      <c r="I150">
        <v>9.8000000000000007</v>
      </c>
      <c r="J150">
        <v>4.0999999999999996</v>
      </c>
    </row>
    <row r="151" spans="1:10" x14ac:dyDescent="0.2">
      <c r="A151" s="1">
        <v>45860</v>
      </c>
      <c r="B151">
        <v>47</v>
      </c>
      <c r="C151">
        <v>3</v>
      </c>
      <c r="D151">
        <v>4</v>
      </c>
      <c r="E151">
        <v>50</v>
      </c>
      <c r="F151">
        <v>90</v>
      </c>
      <c r="G151">
        <v>15.9</v>
      </c>
      <c r="H151">
        <v>8.5</v>
      </c>
      <c r="I151">
        <v>6</v>
      </c>
      <c r="J151">
        <v>4</v>
      </c>
    </row>
    <row r="152" spans="1:10" x14ac:dyDescent="0.2">
      <c r="A152" s="1">
        <v>45860</v>
      </c>
      <c r="B152">
        <v>48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</v>
      </c>
      <c r="J152">
        <v>0</v>
      </c>
    </row>
    <row r="153" spans="1:10" x14ac:dyDescent="0.2">
      <c r="A153" s="1">
        <v>45860</v>
      </c>
      <c r="B153">
        <v>48</v>
      </c>
      <c r="C153">
        <v>2</v>
      </c>
      <c r="D153">
        <v>1</v>
      </c>
      <c r="E153">
        <v>0</v>
      </c>
      <c r="F153">
        <v>5</v>
      </c>
      <c r="G153">
        <v>5.0999999999999996</v>
      </c>
      <c r="H153">
        <v>0</v>
      </c>
      <c r="I153">
        <v>9</v>
      </c>
      <c r="J153">
        <v>2.4</v>
      </c>
    </row>
    <row r="154" spans="1:10" x14ac:dyDescent="0.2">
      <c r="A154" s="1">
        <v>45860</v>
      </c>
      <c r="B154">
        <v>48</v>
      </c>
      <c r="C154">
        <v>3</v>
      </c>
      <c r="D154">
        <v>6</v>
      </c>
      <c r="E154">
        <v>85</v>
      </c>
      <c r="F154">
        <v>90</v>
      </c>
      <c r="G154">
        <v>8.5</v>
      </c>
      <c r="H154">
        <v>5</v>
      </c>
      <c r="I154">
        <v>6</v>
      </c>
      <c r="J154">
        <v>8</v>
      </c>
    </row>
    <row r="155" spans="1:10" x14ac:dyDescent="0.2">
      <c r="A155" s="1">
        <v>45860</v>
      </c>
      <c r="B155">
        <v>49</v>
      </c>
      <c r="C155">
        <v>1</v>
      </c>
      <c r="D155">
        <v>3</v>
      </c>
      <c r="E155">
        <v>20</v>
      </c>
      <c r="F155">
        <v>60</v>
      </c>
      <c r="G155">
        <v>8.1999999999999993</v>
      </c>
      <c r="H155">
        <v>3</v>
      </c>
      <c r="I155">
        <v>4.2</v>
      </c>
      <c r="J155">
        <v>3.5</v>
      </c>
    </row>
    <row r="156" spans="1:10" x14ac:dyDescent="0.2">
      <c r="A156" s="1">
        <v>45860</v>
      </c>
      <c r="B156">
        <v>49</v>
      </c>
      <c r="C156">
        <v>2</v>
      </c>
      <c r="D156">
        <v>2</v>
      </c>
      <c r="E156">
        <v>5</v>
      </c>
      <c r="F156">
        <v>25</v>
      </c>
      <c r="G156">
        <v>6.4</v>
      </c>
      <c r="H156">
        <v>0</v>
      </c>
      <c r="I156">
        <v>0</v>
      </c>
      <c r="J156">
        <v>4.3</v>
      </c>
    </row>
    <row r="157" spans="1:10" x14ac:dyDescent="0.2">
      <c r="A157" s="1">
        <v>45860</v>
      </c>
      <c r="B157">
        <v>49</v>
      </c>
      <c r="C157">
        <v>3</v>
      </c>
      <c r="D157">
        <v>1</v>
      </c>
      <c r="E157">
        <v>0</v>
      </c>
      <c r="F157">
        <v>1</v>
      </c>
      <c r="G157">
        <v>8</v>
      </c>
      <c r="H157">
        <v>0</v>
      </c>
      <c r="I157">
        <v>0</v>
      </c>
      <c r="J157">
        <v>0</v>
      </c>
    </row>
    <row r="158" spans="1:10" x14ac:dyDescent="0.2">
      <c r="A158" s="1">
        <v>45860</v>
      </c>
      <c r="B158">
        <v>50</v>
      </c>
      <c r="C158">
        <v>1</v>
      </c>
      <c r="D158">
        <v>5</v>
      </c>
      <c r="E158">
        <v>20</v>
      </c>
      <c r="F158">
        <v>90</v>
      </c>
      <c r="G158">
        <v>15.2</v>
      </c>
      <c r="H158">
        <v>1.9</v>
      </c>
      <c r="I158">
        <v>2.4</v>
      </c>
      <c r="J158">
        <v>4.3</v>
      </c>
    </row>
    <row r="159" spans="1:10" x14ac:dyDescent="0.2">
      <c r="A159" s="1">
        <v>45860</v>
      </c>
      <c r="B159">
        <v>50</v>
      </c>
      <c r="C159">
        <v>2</v>
      </c>
      <c r="D159">
        <v>2</v>
      </c>
      <c r="E159">
        <v>0</v>
      </c>
      <c r="F159">
        <v>70</v>
      </c>
      <c r="G159">
        <v>5.8</v>
      </c>
      <c r="H159">
        <v>3.1</v>
      </c>
      <c r="I159">
        <v>0</v>
      </c>
      <c r="J159">
        <v>2.2999999999999998</v>
      </c>
    </row>
    <row r="160" spans="1:10" x14ac:dyDescent="0.2">
      <c r="A160" s="1">
        <v>45860</v>
      </c>
      <c r="B160">
        <v>50</v>
      </c>
      <c r="C160">
        <v>3</v>
      </c>
      <c r="D160">
        <v>2</v>
      </c>
      <c r="E160">
        <v>50</v>
      </c>
      <c r="F160">
        <v>70</v>
      </c>
      <c r="G160">
        <v>10.9</v>
      </c>
      <c r="H160">
        <v>0</v>
      </c>
      <c r="I160">
        <v>0</v>
      </c>
      <c r="J160">
        <v>5.0999999999999996</v>
      </c>
    </row>
    <row r="161" spans="1:10" x14ac:dyDescent="0.2">
      <c r="A161" s="1">
        <v>45860</v>
      </c>
      <c r="B161">
        <v>51</v>
      </c>
      <c r="C161">
        <v>1</v>
      </c>
      <c r="D161">
        <v>1</v>
      </c>
      <c r="E161">
        <v>0</v>
      </c>
      <c r="F161">
        <v>10</v>
      </c>
      <c r="G161">
        <v>5.4</v>
      </c>
      <c r="H161">
        <v>0</v>
      </c>
      <c r="I161">
        <v>0</v>
      </c>
      <c r="J161">
        <v>2</v>
      </c>
    </row>
    <row r="162" spans="1:10" x14ac:dyDescent="0.2">
      <c r="A162" s="1">
        <v>45860</v>
      </c>
      <c r="B162">
        <v>51</v>
      </c>
      <c r="C162">
        <v>2</v>
      </c>
      <c r="D162">
        <v>3</v>
      </c>
      <c r="E162">
        <v>5</v>
      </c>
      <c r="F162">
        <v>40</v>
      </c>
      <c r="G162">
        <v>8.4</v>
      </c>
      <c r="H162">
        <v>6.8</v>
      </c>
      <c r="I162">
        <v>4.3</v>
      </c>
      <c r="J162">
        <v>4.0999999999999996</v>
      </c>
    </row>
    <row r="163" spans="1:10" x14ac:dyDescent="0.2">
      <c r="A163" s="1">
        <v>45860</v>
      </c>
      <c r="B163">
        <v>51</v>
      </c>
      <c r="C163">
        <v>3</v>
      </c>
      <c r="D163">
        <v>3</v>
      </c>
      <c r="E163">
        <v>50</v>
      </c>
      <c r="F163">
        <v>100</v>
      </c>
      <c r="G163">
        <v>14.5</v>
      </c>
      <c r="H163">
        <v>4.4000000000000004</v>
      </c>
      <c r="I163">
        <v>3.8</v>
      </c>
      <c r="J163">
        <v>8.6</v>
      </c>
    </row>
    <row r="164" spans="1:10" x14ac:dyDescent="0.2">
      <c r="A164" s="1">
        <v>45860</v>
      </c>
      <c r="B164">
        <v>52</v>
      </c>
      <c r="C164">
        <v>1</v>
      </c>
      <c r="D164">
        <v>4</v>
      </c>
      <c r="E164">
        <v>20</v>
      </c>
      <c r="F164">
        <v>95</v>
      </c>
      <c r="G164">
        <v>7.8</v>
      </c>
      <c r="H164">
        <v>2</v>
      </c>
      <c r="I164">
        <v>8</v>
      </c>
      <c r="J164">
        <v>7.4</v>
      </c>
    </row>
    <row r="165" spans="1:10" x14ac:dyDescent="0.2">
      <c r="A165" s="1">
        <v>45860</v>
      </c>
      <c r="B165">
        <v>52</v>
      </c>
      <c r="C165">
        <v>2</v>
      </c>
      <c r="D165">
        <v>4</v>
      </c>
      <c r="E165">
        <v>20</v>
      </c>
      <c r="F165">
        <v>90</v>
      </c>
      <c r="G165">
        <v>11.3</v>
      </c>
      <c r="H165">
        <v>10.7</v>
      </c>
      <c r="I165">
        <v>7.5</v>
      </c>
      <c r="J165">
        <v>10.199999999999999</v>
      </c>
    </row>
    <row r="166" spans="1:10" x14ac:dyDescent="0.2">
      <c r="A166" s="1">
        <v>45860</v>
      </c>
      <c r="B166">
        <v>52</v>
      </c>
      <c r="C166">
        <v>3</v>
      </c>
      <c r="D166">
        <v>6</v>
      </c>
      <c r="E166">
        <v>40</v>
      </c>
      <c r="F166">
        <v>95</v>
      </c>
      <c r="G166">
        <v>13.3</v>
      </c>
      <c r="H166">
        <v>9.1999999999999993</v>
      </c>
      <c r="I166">
        <v>8.5</v>
      </c>
      <c r="J166">
        <v>5.6</v>
      </c>
    </row>
    <row r="167" spans="1:10" x14ac:dyDescent="0.2">
      <c r="A167" s="1">
        <v>45860</v>
      </c>
      <c r="B167">
        <v>53</v>
      </c>
      <c r="C167">
        <v>1</v>
      </c>
      <c r="D167">
        <v>4</v>
      </c>
      <c r="E167">
        <v>10</v>
      </c>
      <c r="F167">
        <v>65</v>
      </c>
      <c r="G167">
        <v>8.1999999999999993</v>
      </c>
      <c r="H167">
        <v>5.0999999999999996</v>
      </c>
      <c r="I167">
        <v>1.2</v>
      </c>
      <c r="J167">
        <v>6.3</v>
      </c>
    </row>
    <row r="168" spans="1:10" x14ac:dyDescent="0.2">
      <c r="A168" s="1">
        <v>45860</v>
      </c>
      <c r="B168">
        <v>53</v>
      </c>
      <c r="C168">
        <v>2</v>
      </c>
      <c r="D168">
        <v>2</v>
      </c>
      <c r="E168">
        <v>5</v>
      </c>
      <c r="F168">
        <v>20</v>
      </c>
      <c r="G168">
        <v>3.1</v>
      </c>
      <c r="H168">
        <v>2.5</v>
      </c>
      <c r="I168">
        <v>0</v>
      </c>
      <c r="J168">
        <v>0</v>
      </c>
    </row>
    <row r="169" spans="1:10" x14ac:dyDescent="0.2">
      <c r="A169" s="1">
        <v>45860</v>
      </c>
      <c r="B169">
        <v>53</v>
      </c>
      <c r="C169">
        <v>3</v>
      </c>
      <c r="D169">
        <v>1</v>
      </c>
      <c r="E169">
        <v>2</v>
      </c>
      <c r="F169">
        <v>20</v>
      </c>
      <c r="G169">
        <v>3.9</v>
      </c>
      <c r="H169">
        <v>2</v>
      </c>
      <c r="I169">
        <v>0</v>
      </c>
      <c r="J169">
        <v>0</v>
      </c>
    </row>
    <row r="170" spans="1:10" x14ac:dyDescent="0.2">
      <c r="A170" s="1">
        <v>45860</v>
      </c>
      <c r="B170">
        <v>54</v>
      </c>
      <c r="C170">
        <v>1</v>
      </c>
      <c r="D170">
        <v>0</v>
      </c>
      <c r="E170">
        <v>1</v>
      </c>
      <c r="F170">
        <v>2</v>
      </c>
      <c r="G170">
        <v>3.3</v>
      </c>
      <c r="H170">
        <v>0</v>
      </c>
      <c r="I170">
        <v>0</v>
      </c>
      <c r="J170">
        <v>1.1000000000000001</v>
      </c>
    </row>
    <row r="171" spans="1:10" x14ac:dyDescent="0.2">
      <c r="A171" s="1">
        <v>45860</v>
      </c>
      <c r="B171">
        <v>54</v>
      </c>
      <c r="C171">
        <v>2</v>
      </c>
      <c r="D171">
        <v>2</v>
      </c>
      <c r="E171">
        <v>2</v>
      </c>
      <c r="F171">
        <v>30</v>
      </c>
      <c r="G171">
        <v>5.3</v>
      </c>
      <c r="H171">
        <v>3.8</v>
      </c>
      <c r="I171">
        <v>0</v>
      </c>
      <c r="J171">
        <v>0</v>
      </c>
    </row>
    <row r="172" spans="1:10" x14ac:dyDescent="0.2">
      <c r="A172" s="1">
        <v>45860</v>
      </c>
      <c r="B172">
        <v>54</v>
      </c>
      <c r="C172">
        <v>3</v>
      </c>
      <c r="D172">
        <v>2</v>
      </c>
      <c r="E172">
        <v>10</v>
      </c>
      <c r="F172">
        <v>15</v>
      </c>
      <c r="G172">
        <v>6.5</v>
      </c>
      <c r="H172">
        <v>2.2999999999999998</v>
      </c>
      <c r="I172">
        <v>0</v>
      </c>
      <c r="J172">
        <v>0</v>
      </c>
    </row>
    <row r="173" spans="1:10" x14ac:dyDescent="0.2">
      <c r="A173" s="1">
        <v>45860</v>
      </c>
      <c r="B173">
        <v>55</v>
      </c>
      <c r="C173">
        <v>1</v>
      </c>
      <c r="D173">
        <v>1</v>
      </c>
      <c r="E173">
        <v>5</v>
      </c>
      <c r="F173">
        <v>5</v>
      </c>
      <c r="G173">
        <v>7.4</v>
      </c>
      <c r="H173">
        <v>0</v>
      </c>
      <c r="I173">
        <v>0</v>
      </c>
      <c r="J173">
        <v>3.5</v>
      </c>
    </row>
    <row r="174" spans="1:10" x14ac:dyDescent="0.2">
      <c r="A174" s="1">
        <v>45860</v>
      </c>
      <c r="B174">
        <v>55</v>
      </c>
      <c r="C174">
        <v>2</v>
      </c>
      <c r="D174">
        <v>0</v>
      </c>
      <c r="E174">
        <v>0</v>
      </c>
      <c r="F174">
        <v>5</v>
      </c>
      <c r="G174">
        <v>1.7</v>
      </c>
      <c r="H174">
        <v>1.5</v>
      </c>
      <c r="I174">
        <v>0</v>
      </c>
      <c r="J174">
        <v>0</v>
      </c>
    </row>
    <row r="175" spans="1:10" x14ac:dyDescent="0.2">
      <c r="A175" s="1">
        <v>45860</v>
      </c>
      <c r="B175">
        <v>55</v>
      </c>
      <c r="C175">
        <v>3</v>
      </c>
      <c r="D175">
        <v>0</v>
      </c>
      <c r="E175">
        <v>0</v>
      </c>
      <c r="F175">
        <v>45</v>
      </c>
      <c r="G175">
        <v>2.1</v>
      </c>
      <c r="H175">
        <v>1.9</v>
      </c>
      <c r="I175">
        <v>1.2</v>
      </c>
      <c r="J175">
        <v>0</v>
      </c>
    </row>
    <row r="176" spans="1:10" x14ac:dyDescent="0.2">
      <c r="A176" s="1">
        <v>45860</v>
      </c>
      <c r="B176">
        <v>56</v>
      </c>
      <c r="C176">
        <v>1</v>
      </c>
      <c r="D176">
        <v>4</v>
      </c>
      <c r="E176">
        <v>75</v>
      </c>
      <c r="F176">
        <v>90</v>
      </c>
      <c r="G176">
        <v>9.4</v>
      </c>
      <c r="H176">
        <v>5.6</v>
      </c>
      <c r="I176">
        <v>3.2</v>
      </c>
      <c r="J176">
        <v>3.1</v>
      </c>
    </row>
    <row r="177" spans="1:10" x14ac:dyDescent="0.2">
      <c r="A177" s="1">
        <v>45860</v>
      </c>
      <c r="B177">
        <v>56</v>
      </c>
      <c r="C177">
        <v>2</v>
      </c>
      <c r="D177">
        <v>5</v>
      </c>
      <c r="E177">
        <v>35</v>
      </c>
      <c r="F177">
        <v>95</v>
      </c>
      <c r="G177">
        <v>10.1</v>
      </c>
      <c r="H177">
        <v>3.5</v>
      </c>
      <c r="I177">
        <v>6.3</v>
      </c>
      <c r="J177">
        <v>2.4</v>
      </c>
    </row>
    <row r="178" spans="1:10" x14ac:dyDescent="0.2">
      <c r="A178" s="1">
        <v>45860</v>
      </c>
      <c r="B178">
        <v>56</v>
      </c>
      <c r="C178">
        <v>3</v>
      </c>
      <c r="D178">
        <v>3</v>
      </c>
      <c r="E178">
        <v>80</v>
      </c>
      <c r="F178">
        <v>85</v>
      </c>
      <c r="G178">
        <v>13.5</v>
      </c>
      <c r="H178">
        <v>4.9000000000000004</v>
      </c>
      <c r="I178">
        <v>0</v>
      </c>
      <c r="J178">
        <v>8.5</v>
      </c>
    </row>
    <row r="179" spans="1:10" x14ac:dyDescent="0.2">
      <c r="A179" s="1">
        <v>45860</v>
      </c>
      <c r="B179">
        <v>57</v>
      </c>
      <c r="C179">
        <v>1</v>
      </c>
      <c r="D179">
        <v>4</v>
      </c>
      <c r="E179">
        <v>15</v>
      </c>
      <c r="F179">
        <v>50</v>
      </c>
      <c r="G179">
        <v>11.5</v>
      </c>
      <c r="H179">
        <v>5.0999999999999996</v>
      </c>
      <c r="I179">
        <v>1.8</v>
      </c>
      <c r="J179">
        <v>0</v>
      </c>
    </row>
    <row r="180" spans="1:10" x14ac:dyDescent="0.2">
      <c r="A180" s="1">
        <v>45860</v>
      </c>
      <c r="B180">
        <v>57</v>
      </c>
      <c r="C180">
        <v>2</v>
      </c>
      <c r="D180">
        <v>1</v>
      </c>
      <c r="E180">
        <v>2</v>
      </c>
      <c r="F180">
        <v>2</v>
      </c>
      <c r="G180">
        <v>3</v>
      </c>
      <c r="H180">
        <v>0</v>
      </c>
      <c r="I180">
        <v>0</v>
      </c>
      <c r="J180">
        <v>0</v>
      </c>
    </row>
    <row r="181" spans="1:10" x14ac:dyDescent="0.2">
      <c r="A181" s="1">
        <v>45860</v>
      </c>
      <c r="B181">
        <v>57</v>
      </c>
      <c r="C181">
        <v>3</v>
      </c>
      <c r="D181">
        <v>1</v>
      </c>
      <c r="E181">
        <v>5</v>
      </c>
      <c r="F181">
        <v>5</v>
      </c>
      <c r="G181">
        <v>6.9</v>
      </c>
      <c r="H181">
        <v>0</v>
      </c>
      <c r="I181">
        <v>0</v>
      </c>
      <c r="J181">
        <v>0</v>
      </c>
    </row>
    <row r="182" spans="1:10" x14ac:dyDescent="0.2">
      <c r="A182" s="1">
        <v>45860</v>
      </c>
      <c r="B182">
        <v>58</v>
      </c>
      <c r="C182">
        <v>1</v>
      </c>
      <c r="D182">
        <v>0</v>
      </c>
      <c r="E182">
        <v>0</v>
      </c>
      <c r="F182">
        <v>1</v>
      </c>
      <c r="G182">
        <v>0.8</v>
      </c>
      <c r="H182">
        <v>0</v>
      </c>
      <c r="I182">
        <v>0</v>
      </c>
      <c r="J182">
        <v>0</v>
      </c>
    </row>
    <row r="183" spans="1:10" x14ac:dyDescent="0.2">
      <c r="A183" s="1">
        <v>45860</v>
      </c>
      <c r="B183">
        <v>58</v>
      </c>
      <c r="C183">
        <v>2</v>
      </c>
      <c r="D183">
        <v>3</v>
      </c>
      <c r="E183">
        <v>10</v>
      </c>
      <c r="F183">
        <v>40</v>
      </c>
      <c r="G183">
        <v>7.1</v>
      </c>
      <c r="H183">
        <v>1.9</v>
      </c>
      <c r="I183">
        <v>5.0999999999999996</v>
      </c>
      <c r="J183">
        <v>2.2999999999999998</v>
      </c>
    </row>
    <row r="184" spans="1:10" x14ac:dyDescent="0.2">
      <c r="A184" s="1">
        <v>45860</v>
      </c>
      <c r="B184">
        <v>58</v>
      </c>
      <c r="C184">
        <v>3</v>
      </c>
      <c r="D184">
        <v>1</v>
      </c>
      <c r="E184">
        <v>5</v>
      </c>
      <c r="F184">
        <v>10</v>
      </c>
      <c r="G184">
        <v>9.9</v>
      </c>
      <c r="H184">
        <v>0</v>
      </c>
      <c r="I184">
        <v>0</v>
      </c>
      <c r="J184">
        <v>2</v>
      </c>
    </row>
    <row r="185" spans="1:10" x14ac:dyDescent="0.2">
      <c r="A185" s="1">
        <v>45860</v>
      </c>
      <c r="B185">
        <v>59</v>
      </c>
      <c r="C185">
        <v>1</v>
      </c>
      <c r="D185">
        <v>2</v>
      </c>
      <c r="E185">
        <v>7</v>
      </c>
      <c r="F185">
        <v>15</v>
      </c>
      <c r="G185">
        <v>8.9</v>
      </c>
      <c r="H185">
        <v>3.1</v>
      </c>
      <c r="I185">
        <v>1.9</v>
      </c>
      <c r="J185">
        <v>0</v>
      </c>
    </row>
    <row r="186" spans="1:10" x14ac:dyDescent="0.2">
      <c r="A186" s="1">
        <v>45860</v>
      </c>
      <c r="B186">
        <v>59</v>
      </c>
      <c r="C186">
        <v>2</v>
      </c>
      <c r="D186">
        <v>1</v>
      </c>
      <c r="E186">
        <v>10</v>
      </c>
      <c r="F186">
        <v>20</v>
      </c>
      <c r="G186">
        <v>5.6</v>
      </c>
      <c r="H186">
        <v>0</v>
      </c>
      <c r="I186">
        <v>0</v>
      </c>
      <c r="J186">
        <v>0</v>
      </c>
    </row>
    <row r="187" spans="1:10" x14ac:dyDescent="0.2">
      <c r="A187" s="1">
        <v>45860</v>
      </c>
      <c r="B187">
        <v>59</v>
      </c>
      <c r="C187">
        <v>3</v>
      </c>
      <c r="D187">
        <v>0</v>
      </c>
      <c r="E187">
        <v>0</v>
      </c>
      <c r="F187">
        <v>10</v>
      </c>
      <c r="G187">
        <v>4.0999999999999996</v>
      </c>
      <c r="H187">
        <v>0</v>
      </c>
      <c r="I187">
        <v>0</v>
      </c>
      <c r="J187">
        <v>0</v>
      </c>
    </row>
    <row r="188" spans="1:10" x14ac:dyDescent="0.2">
      <c r="A188" s="1">
        <v>45860</v>
      </c>
      <c r="B188">
        <v>60</v>
      </c>
      <c r="C188">
        <v>1</v>
      </c>
      <c r="D188">
        <v>8</v>
      </c>
      <c r="E188">
        <v>70</v>
      </c>
      <c r="F188">
        <v>95</v>
      </c>
      <c r="G188">
        <v>10.1</v>
      </c>
      <c r="H188">
        <v>4.4000000000000004</v>
      </c>
      <c r="I188">
        <v>3.4</v>
      </c>
      <c r="J188">
        <v>5.0999999999999996</v>
      </c>
    </row>
    <row r="189" spans="1:10" x14ac:dyDescent="0.2">
      <c r="A189" s="1">
        <v>45860</v>
      </c>
      <c r="B189">
        <v>60</v>
      </c>
      <c r="C189">
        <v>2</v>
      </c>
      <c r="D189">
        <v>6</v>
      </c>
      <c r="E189">
        <v>25</v>
      </c>
      <c r="F189">
        <v>95</v>
      </c>
      <c r="G189">
        <v>7.8</v>
      </c>
      <c r="H189">
        <v>6.2</v>
      </c>
      <c r="I189">
        <v>3.4</v>
      </c>
      <c r="J189">
        <v>3.1</v>
      </c>
    </row>
    <row r="190" spans="1:10" x14ac:dyDescent="0.2">
      <c r="A190" s="1">
        <v>45860</v>
      </c>
      <c r="B190">
        <v>60</v>
      </c>
      <c r="C190">
        <v>3</v>
      </c>
      <c r="D190">
        <v>3</v>
      </c>
      <c r="E190">
        <v>60</v>
      </c>
      <c r="F190">
        <v>60</v>
      </c>
      <c r="G190">
        <v>10.5</v>
      </c>
      <c r="H190">
        <v>0</v>
      </c>
      <c r="I190">
        <v>3</v>
      </c>
      <c r="J190">
        <v>6.8</v>
      </c>
    </row>
    <row r="191" spans="1:10" x14ac:dyDescent="0.2">
      <c r="A191" s="1">
        <v>45860</v>
      </c>
      <c r="B191">
        <v>61</v>
      </c>
      <c r="C191">
        <v>1</v>
      </c>
      <c r="D191">
        <v>5</v>
      </c>
      <c r="E191">
        <v>70</v>
      </c>
      <c r="F191">
        <v>85</v>
      </c>
      <c r="G191">
        <v>11.3</v>
      </c>
      <c r="H191">
        <v>5.0999999999999996</v>
      </c>
      <c r="I191">
        <v>2.1</v>
      </c>
      <c r="J191">
        <v>1.4</v>
      </c>
    </row>
    <row r="192" spans="1:10" x14ac:dyDescent="0.2">
      <c r="A192" s="1">
        <v>45860</v>
      </c>
      <c r="B192">
        <v>61</v>
      </c>
      <c r="C192">
        <v>2</v>
      </c>
      <c r="D192">
        <v>5</v>
      </c>
      <c r="E192">
        <v>60</v>
      </c>
      <c r="F192">
        <v>90</v>
      </c>
      <c r="G192">
        <v>10.4</v>
      </c>
      <c r="H192">
        <v>5.8</v>
      </c>
      <c r="I192">
        <v>0</v>
      </c>
      <c r="J192">
        <v>5.4</v>
      </c>
    </row>
    <row r="193" spans="1:10" x14ac:dyDescent="0.2">
      <c r="A193" s="1">
        <v>45860</v>
      </c>
      <c r="B193">
        <v>61</v>
      </c>
      <c r="C193">
        <v>3</v>
      </c>
      <c r="D193">
        <v>2</v>
      </c>
      <c r="E193">
        <v>50</v>
      </c>
      <c r="F193">
        <v>80</v>
      </c>
      <c r="G193">
        <v>15.2</v>
      </c>
      <c r="H193">
        <v>10</v>
      </c>
      <c r="I193">
        <v>0</v>
      </c>
      <c r="J193">
        <v>5.5</v>
      </c>
    </row>
    <row r="194" spans="1:10" x14ac:dyDescent="0.2">
      <c r="A194" s="1">
        <v>45861</v>
      </c>
      <c r="B194">
        <v>62</v>
      </c>
      <c r="C194">
        <v>1</v>
      </c>
      <c r="D194">
        <v>1</v>
      </c>
      <c r="E194">
        <v>0</v>
      </c>
      <c r="F194">
        <v>10</v>
      </c>
      <c r="G194">
        <v>5.4</v>
      </c>
      <c r="H194">
        <v>1.2</v>
      </c>
      <c r="I194">
        <v>0</v>
      </c>
      <c r="J194">
        <v>3</v>
      </c>
    </row>
    <row r="195" spans="1:10" x14ac:dyDescent="0.2">
      <c r="A195" s="1">
        <v>45861</v>
      </c>
      <c r="B195">
        <v>62</v>
      </c>
      <c r="C195">
        <v>2</v>
      </c>
      <c r="D195">
        <v>0</v>
      </c>
      <c r="E195">
        <v>0</v>
      </c>
      <c r="F195">
        <v>2</v>
      </c>
      <c r="G195">
        <v>1.4</v>
      </c>
      <c r="H195">
        <v>0</v>
      </c>
      <c r="I195">
        <v>0</v>
      </c>
      <c r="J195">
        <v>0</v>
      </c>
    </row>
    <row r="196" spans="1:10" x14ac:dyDescent="0.2">
      <c r="A196" s="1">
        <v>45861</v>
      </c>
      <c r="B196">
        <v>62</v>
      </c>
      <c r="C196">
        <v>3</v>
      </c>
      <c r="D196">
        <v>5</v>
      </c>
      <c r="E196">
        <v>40</v>
      </c>
      <c r="F196">
        <v>90</v>
      </c>
      <c r="G196">
        <v>7.4</v>
      </c>
      <c r="H196">
        <v>6.5</v>
      </c>
      <c r="I196">
        <v>5</v>
      </c>
      <c r="J196">
        <v>4.4000000000000004</v>
      </c>
    </row>
    <row r="197" spans="1:10" x14ac:dyDescent="0.2">
      <c r="A197" s="1">
        <v>45861</v>
      </c>
      <c r="B197">
        <v>63</v>
      </c>
      <c r="C197">
        <v>1</v>
      </c>
      <c r="D197">
        <v>4</v>
      </c>
      <c r="E197">
        <v>20</v>
      </c>
      <c r="F197">
        <v>70</v>
      </c>
      <c r="G197">
        <v>9.4</v>
      </c>
      <c r="H197">
        <v>6.4</v>
      </c>
      <c r="I197">
        <v>2.1</v>
      </c>
      <c r="J197">
        <v>3.5</v>
      </c>
    </row>
    <row r="198" spans="1:10" x14ac:dyDescent="0.2">
      <c r="A198" s="1">
        <v>45861</v>
      </c>
      <c r="B198">
        <v>63</v>
      </c>
      <c r="C198">
        <v>2</v>
      </c>
      <c r="D198">
        <v>4</v>
      </c>
      <c r="E198">
        <v>10</v>
      </c>
      <c r="F198">
        <v>60</v>
      </c>
      <c r="G198">
        <v>10.1</v>
      </c>
      <c r="H198">
        <v>4.4000000000000004</v>
      </c>
      <c r="I198">
        <v>3.3</v>
      </c>
      <c r="J198">
        <v>0</v>
      </c>
    </row>
    <row r="199" spans="1:10" x14ac:dyDescent="0.2">
      <c r="A199" s="1">
        <v>45861</v>
      </c>
      <c r="B199">
        <v>63</v>
      </c>
      <c r="C199">
        <v>3</v>
      </c>
      <c r="D199">
        <v>5</v>
      </c>
      <c r="E199">
        <v>60</v>
      </c>
      <c r="F199">
        <v>80</v>
      </c>
      <c r="G199">
        <v>11.2</v>
      </c>
      <c r="H199">
        <v>0</v>
      </c>
      <c r="I199">
        <v>3.5</v>
      </c>
      <c r="J199">
        <v>6.7</v>
      </c>
    </row>
    <row r="200" spans="1:10" x14ac:dyDescent="0.2">
      <c r="A200" s="1">
        <v>45861</v>
      </c>
      <c r="B200">
        <v>64</v>
      </c>
      <c r="C200">
        <v>1</v>
      </c>
      <c r="D200">
        <v>2</v>
      </c>
      <c r="E200">
        <v>25</v>
      </c>
      <c r="F200">
        <v>45</v>
      </c>
      <c r="G200">
        <v>7.6</v>
      </c>
      <c r="H200">
        <v>0</v>
      </c>
      <c r="I200">
        <v>0</v>
      </c>
      <c r="J200">
        <v>6.7</v>
      </c>
    </row>
    <row r="201" spans="1:10" x14ac:dyDescent="0.2">
      <c r="A201" s="1">
        <v>45861</v>
      </c>
      <c r="B201">
        <v>64</v>
      </c>
      <c r="C201">
        <v>2</v>
      </c>
      <c r="D201">
        <v>4</v>
      </c>
      <c r="E201">
        <v>40</v>
      </c>
      <c r="F201">
        <v>70</v>
      </c>
      <c r="G201">
        <v>5.8</v>
      </c>
      <c r="H201">
        <v>4.3</v>
      </c>
      <c r="I201">
        <v>4.5</v>
      </c>
      <c r="J201">
        <v>0</v>
      </c>
    </row>
    <row r="202" spans="1:10" x14ac:dyDescent="0.2">
      <c r="A202" s="1">
        <v>45861</v>
      </c>
      <c r="B202">
        <v>64</v>
      </c>
      <c r="C202">
        <v>3</v>
      </c>
      <c r="D202">
        <v>3</v>
      </c>
      <c r="E202">
        <v>80</v>
      </c>
      <c r="F202">
        <v>90</v>
      </c>
      <c r="G202">
        <v>10</v>
      </c>
      <c r="H202">
        <v>2</v>
      </c>
      <c r="I202">
        <v>2.2999999999999998</v>
      </c>
      <c r="J20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3C21-3C87-4BAB-8767-FC9D908A6DA9}">
  <dimension ref="A1:D67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9.1640625" bestFit="1" customWidth="1"/>
  </cols>
  <sheetData>
    <row r="1" spans="1:4" x14ac:dyDescent="0.2">
      <c r="A1" t="s">
        <v>133</v>
      </c>
    </row>
    <row r="2" spans="1:4" x14ac:dyDescent="0.2">
      <c r="A2" t="s">
        <v>134</v>
      </c>
      <c r="C2" t="s">
        <v>148</v>
      </c>
      <c r="D2" t="s">
        <v>147</v>
      </c>
    </row>
    <row r="3" spans="1:4" x14ac:dyDescent="0.2">
      <c r="A3" t="s">
        <v>4</v>
      </c>
      <c r="B3" t="s">
        <v>10</v>
      </c>
      <c r="C3" t="s">
        <v>126</v>
      </c>
      <c r="D3" t="s">
        <v>132</v>
      </c>
    </row>
    <row r="4" spans="1:4" x14ac:dyDescent="0.2">
      <c r="A4" s="1">
        <v>45863</v>
      </c>
      <c r="B4">
        <v>1</v>
      </c>
      <c r="C4">
        <v>2</v>
      </c>
      <c r="D4">
        <v>0</v>
      </c>
    </row>
    <row r="5" spans="1:4" x14ac:dyDescent="0.2">
      <c r="A5" s="1">
        <v>45863</v>
      </c>
      <c r="B5">
        <v>2</v>
      </c>
      <c r="C5">
        <v>1</v>
      </c>
      <c r="D5">
        <v>0</v>
      </c>
    </row>
    <row r="6" spans="1:4" x14ac:dyDescent="0.2">
      <c r="A6" s="1">
        <v>45863</v>
      </c>
      <c r="B6">
        <v>3</v>
      </c>
      <c r="C6">
        <v>4</v>
      </c>
      <c r="D6">
        <v>0</v>
      </c>
    </row>
    <row r="7" spans="1:4" x14ac:dyDescent="0.2">
      <c r="A7" s="1">
        <v>45863</v>
      </c>
      <c r="B7">
        <v>4</v>
      </c>
      <c r="C7">
        <v>1</v>
      </c>
      <c r="D7">
        <v>0</v>
      </c>
    </row>
    <row r="8" spans="1:4" x14ac:dyDescent="0.2">
      <c r="A8" s="1">
        <v>45863</v>
      </c>
      <c r="B8">
        <v>5</v>
      </c>
      <c r="C8">
        <v>1</v>
      </c>
      <c r="D8">
        <v>0</v>
      </c>
    </row>
    <row r="9" spans="1:4" x14ac:dyDescent="0.2">
      <c r="A9" s="1">
        <v>45863</v>
      </c>
      <c r="B9">
        <v>6</v>
      </c>
      <c r="C9">
        <v>1</v>
      </c>
      <c r="D9">
        <v>0</v>
      </c>
    </row>
    <row r="10" spans="1:4" x14ac:dyDescent="0.2">
      <c r="A10" s="1">
        <v>45863</v>
      </c>
      <c r="B10">
        <v>7</v>
      </c>
      <c r="C10">
        <v>0</v>
      </c>
      <c r="D10">
        <v>1</v>
      </c>
    </row>
    <row r="11" spans="1:4" x14ac:dyDescent="0.2">
      <c r="A11" s="1">
        <v>45863</v>
      </c>
      <c r="B11">
        <v>8</v>
      </c>
      <c r="C11">
        <v>0</v>
      </c>
      <c r="D11">
        <v>0</v>
      </c>
    </row>
    <row r="12" spans="1:4" x14ac:dyDescent="0.2">
      <c r="A12" s="1">
        <v>45863</v>
      </c>
      <c r="B12">
        <v>9</v>
      </c>
      <c r="C12">
        <v>1</v>
      </c>
      <c r="D12">
        <v>1</v>
      </c>
    </row>
    <row r="13" spans="1:4" x14ac:dyDescent="0.2">
      <c r="A13" s="1">
        <v>45863</v>
      </c>
      <c r="B13">
        <v>10</v>
      </c>
      <c r="C13">
        <v>1</v>
      </c>
      <c r="D13">
        <v>0</v>
      </c>
    </row>
    <row r="14" spans="1:4" x14ac:dyDescent="0.2">
      <c r="A14" s="1">
        <v>45863</v>
      </c>
      <c r="B14">
        <v>11</v>
      </c>
      <c r="C14">
        <v>5</v>
      </c>
      <c r="D14">
        <v>0</v>
      </c>
    </row>
    <row r="15" spans="1:4" x14ac:dyDescent="0.2">
      <c r="A15" s="1">
        <v>45863</v>
      </c>
      <c r="B15">
        <v>12</v>
      </c>
      <c r="C15">
        <v>0</v>
      </c>
      <c r="D15">
        <v>0</v>
      </c>
    </row>
    <row r="16" spans="1:4" x14ac:dyDescent="0.2">
      <c r="A16" s="1">
        <v>45863</v>
      </c>
      <c r="B16">
        <v>13</v>
      </c>
      <c r="C16">
        <v>1</v>
      </c>
      <c r="D16">
        <v>2</v>
      </c>
    </row>
    <row r="17" spans="1:4" x14ac:dyDescent="0.2">
      <c r="A17" s="1">
        <v>45863</v>
      </c>
      <c r="B17">
        <v>14</v>
      </c>
      <c r="C17">
        <v>0</v>
      </c>
      <c r="D17">
        <v>2</v>
      </c>
    </row>
    <row r="18" spans="1:4" x14ac:dyDescent="0.2">
      <c r="A18" s="1">
        <v>45863</v>
      </c>
      <c r="B18">
        <v>15</v>
      </c>
      <c r="C18">
        <v>0</v>
      </c>
      <c r="D18">
        <v>2</v>
      </c>
    </row>
    <row r="19" spans="1:4" x14ac:dyDescent="0.2">
      <c r="A19" s="1">
        <v>45863</v>
      </c>
      <c r="B19">
        <v>16</v>
      </c>
      <c r="C19">
        <v>0</v>
      </c>
      <c r="D19">
        <v>0</v>
      </c>
    </row>
    <row r="20" spans="1:4" x14ac:dyDescent="0.2">
      <c r="A20" s="1">
        <v>45863</v>
      </c>
      <c r="B20">
        <v>17</v>
      </c>
      <c r="C20">
        <v>0</v>
      </c>
      <c r="D20">
        <v>0</v>
      </c>
    </row>
    <row r="21" spans="1:4" x14ac:dyDescent="0.2">
      <c r="A21" s="1">
        <v>45863</v>
      </c>
      <c r="B21">
        <v>18</v>
      </c>
      <c r="C21">
        <v>3</v>
      </c>
      <c r="D21">
        <v>0</v>
      </c>
    </row>
    <row r="22" spans="1:4" x14ac:dyDescent="0.2">
      <c r="A22" s="1">
        <v>45863</v>
      </c>
      <c r="B22">
        <v>19</v>
      </c>
      <c r="C22">
        <v>0</v>
      </c>
      <c r="D22">
        <v>1</v>
      </c>
    </row>
    <row r="23" spans="1:4" x14ac:dyDescent="0.2">
      <c r="A23" s="1">
        <v>45866</v>
      </c>
      <c r="B23">
        <v>20</v>
      </c>
      <c r="C23">
        <v>1</v>
      </c>
      <c r="D23">
        <v>1</v>
      </c>
    </row>
    <row r="24" spans="1:4" x14ac:dyDescent="0.2">
      <c r="A24" s="1">
        <v>45866</v>
      </c>
      <c r="B24">
        <v>21</v>
      </c>
      <c r="C24">
        <v>1</v>
      </c>
      <c r="D24">
        <v>3</v>
      </c>
    </row>
    <row r="25" spans="1:4" x14ac:dyDescent="0.2">
      <c r="A25" s="1">
        <v>45866</v>
      </c>
      <c r="B25">
        <v>22</v>
      </c>
      <c r="C25">
        <v>0</v>
      </c>
      <c r="D25">
        <v>1</v>
      </c>
    </row>
    <row r="26" spans="1:4" x14ac:dyDescent="0.2">
      <c r="A26" s="1">
        <v>45866</v>
      </c>
      <c r="B26">
        <v>23</v>
      </c>
      <c r="C26">
        <v>8</v>
      </c>
      <c r="D26">
        <v>1</v>
      </c>
    </row>
    <row r="27" spans="1:4" x14ac:dyDescent="0.2">
      <c r="A27" s="1">
        <v>45866</v>
      </c>
      <c r="B27">
        <v>24</v>
      </c>
      <c r="C27">
        <v>1</v>
      </c>
      <c r="D27">
        <v>2</v>
      </c>
    </row>
    <row r="28" spans="1:4" x14ac:dyDescent="0.2">
      <c r="A28" s="1">
        <v>45866</v>
      </c>
      <c r="B28">
        <v>25</v>
      </c>
      <c r="C28">
        <v>9</v>
      </c>
      <c r="D28">
        <v>0</v>
      </c>
    </row>
    <row r="29" spans="1:4" x14ac:dyDescent="0.2">
      <c r="A29" s="1">
        <v>45866</v>
      </c>
      <c r="B29">
        <v>26</v>
      </c>
      <c r="C29">
        <v>6</v>
      </c>
      <c r="D29">
        <v>1</v>
      </c>
    </row>
    <row r="30" spans="1:4" x14ac:dyDescent="0.2">
      <c r="A30" s="1">
        <v>45866</v>
      </c>
      <c r="B30">
        <v>27</v>
      </c>
      <c r="C30">
        <v>0</v>
      </c>
      <c r="D30">
        <v>1</v>
      </c>
    </row>
    <row r="31" spans="1:4" x14ac:dyDescent="0.2">
      <c r="A31" s="1">
        <v>45866</v>
      </c>
      <c r="B31">
        <v>28</v>
      </c>
      <c r="C31">
        <v>7</v>
      </c>
      <c r="D31">
        <v>0</v>
      </c>
    </row>
    <row r="32" spans="1:4" x14ac:dyDescent="0.2">
      <c r="A32" s="1">
        <v>45866</v>
      </c>
      <c r="B32">
        <v>29</v>
      </c>
      <c r="C32">
        <v>0</v>
      </c>
      <c r="D32">
        <v>0</v>
      </c>
    </row>
    <row r="33" spans="1:4" x14ac:dyDescent="0.2">
      <c r="A33" s="1">
        <v>45866</v>
      </c>
      <c r="B33">
        <v>30</v>
      </c>
      <c r="C33">
        <v>0</v>
      </c>
      <c r="D33">
        <v>1</v>
      </c>
    </row>
    <row r="34" spans="1:4" x14ac:dyDescent="0.2">
      <c r="A34" s="1">
        <v>45866</v>
      </c>
      <c r="B34">
        <v>31</v>
      </c>
      <c r="C34">
        <v>0</v>
      </c>
      <c r="D34">
        <v>2</v>
      </c>
    </row>
    <row r="35" spans="1:4" x14ac:dyDescent="0.2">
      <c r="A35" s="1">
        <v>45866</v>
      </c>
      <c r="B35">
        <v>32</v>
      </c>
      <c r="C35">
        <v>0</v>
      </c>
      <c r="D35">
        <v>2</v>
      </c>
    </row>
    <row r="36" spans="1:4" x14ac:dyDescent="0.2">
      <c r="A36" s="1">
        <v>45866</v>
      </c>
      <c r="B36">
        <v>33</v>
      </c>
      <c r="C36">
        <v>2</v>
      </c>
      <c r="D36">
        <v>3</v>
      </c>
    </row>
    <row r="37" spans="1:4" x14ac:dyDescent="0.2">
      <c r="A37" s="1">
        <v>45866</v>
      </c>
      <c r="B37">
        <v>34</v>
      </c>
      <c r="C37">
        <v>0</v>
      </c>
      <c r="D37">
        <v>6</v>
      </c>
    </row>
    <row r="38" spans="1:4" x14ac:dyDescent="0.2">
      <c r="A38" s="1">
        <v>45866</v>
      </c>
      <c r="B38">
        <v>35</v>
      </c>
      <c r="C38">
        <v>2</v>
      </c>
      <c r="D38">
        <v>5</v>
      </c>
    </row>
    <row r="39" spans="1:4" x14ac:dyDescent="0.2">
      <c r="A39" s="1">
        <v>45866</v>
      </c>
      <c r="B39">
        <v>36</v>
      </c>
      <c r="C39">
        <v>14</v>
      </c>
      <c r="D39">
        <v>1</v>
      </c>
    </row>
    <row r="40" spans="1:4" x14ac:dyDescent="0.2">
      <c r="A40" s="1">
        <v>45866</v>
      </c>
      <c r="B40">
        <v>37</v>
      </c>
      <c r="C40">
        <v>0</v>
      </c>
      <c r="D40">
        <v>2</v>
      </c>
    </row>
    <row r="41" spans="1:4" x14ac:dyDescent="0.2">
      <c r="A41" s="1">
        <v>45866</v>
      </c>
      <c r="B41">
        <v>38</v>
      </c>
      <c r="C41">
        <v>13</v>
      </c>
      <c r="D41">
        <v>2</v>
      </c>
    </row>
    <row r="42" spans="1:4" x14ac:dyDescent="0.2">
      <c r="A42" s="1">
        <v>45866</v>
      </c>
      <c r="B42">
        <v>39</v>
      </c>
      <c r="C42">
        <v>2</v>
      </c>
      <c r="D42">
        <v>2</v>
      </c>
    </row>
    <row r="43" spans="1:4" x14ac:dyDescent="0.2">
      <c r="A43" s="1">
        <v>45866</v>
      </c>
      <c r="B43">
        <v>40</v>
      </c>
      <c r="C43">
        <v>12</v>
      </c>
      <c r="D43">
        <v>1</v>
      </c>
    </row>
    <row r="44" spans="1:4" x14ac:dyDescent="0.2">
      <c r="A44" s="1">
        <v>45866</v>
      </c>
      <c r="B44">
        <v>41</v>
      </c>
      <c r="C44">
        <v>13</v>
      </c>
      <c r="D44">
        <v>2</v>
      </c>
    </row>
    <row r="45" spans="1:4" x14ac:dyDescent="0.2">
      <c r="A45" s="1">
        <v>45866</v>
      </c>
      <c r="B45">
        <v>42</v>
      </c>
      <c r="C45">
        <v>55</v>
      </c>
      <c r="D45">
        <v>1</v>
      </c>
    </row>
    <row r="46" spans="1:4" x14ac:dyDescent="0.2">
      <c r="A46" s="1">
        <v>45866</v>
      </c>
      <c r="B46">
        <v>43</v>
      </c>
      <c r="C46">
        <v>5</v>
      </c>
      <c r="D46">
        <v>2</v>
      </c>
    </row>
    <row r="47" spans="1:4" x14ac:dyDescent="0.2">
      <c r="A47" s="1">
        <v>45866</v>
      </c>
      <c r="B47">
        <v>44</v>
      </c>
      <c r="C47">
        <v>0</v>
      </c>
      <c r="D47">
        <v>2</v>
      </c>
    </row>
    <row r="48" spans="1:4" x14ac:dyDescent="0.2">
      <c r="A48" s="1">
        <v>45866</v>
      </c>
      <c r="B48">
        <v>45</v>
      </c>
      <c r="C48">
        <v>3</v>
      </c>
      <c r="D48">
        <v>0</v>
      </c>
    </row>
    <row r="49" spans="1:4" x14ac:dyDescent="0.2">
      <c r="A49" s="1">
        <v>45866</v>
      </c>
      <c r="B49">
        <v>46</v>
      </c>
      <c r="C49">
        <v>0</v>
      </c>
      <c r="D49">
        <v>0</v>
      </c>
    </row>
    <row r="50" spans="1:4" x14ac:dyDescent="0.2">
      <c r="A50" s="1">
        <v>45867</v>
      </c>
      <c r="B50">
        <v>47</v>
      </c>
      <c r="C50">
        <v>0</v>
      </c>
      <c r="D50">
        <v>1</v>
      </c>
    </row>
    <row r="51" spans="1:4" x14ac:dyDescent="0.2">
      <c r="A51" s="1">
        <v>45867</v>
      </c>
      <c r="B51">
        <v>48</v>
      </c>
      <c r="C51">
        <v>8</v>
      </c>
      <c r="D51">
        <v>4</v>
      </c>
    </row>
    <row r="52" spans="1:4" x14ac:dyDescent="0.2">
      <c r="A52" s="1">
        <v>45867</v>
      </c>
      <c r="B52">
        <v>49</v>
      </c>
      <c r="C52">
        <v>2</v>
      </c>
      <c r="D52">
        <v>2</v>
      </c>
    </row>
    <row r="53" spans="1:4" x14ac:dyDescent="0.2">
      <c r="A53" s="1">
        <v>45867</v>
      </c>
      <c r="B53">
        <v>50</v>
      </c>
      <c r="C53">
        <v>1</v>
      </c>
      <c r="D53">
        <v>1</v>
      </c>
    </row>
    <row r="54" spans="1:4" x14ac:dyDescent="0.2">
      <c r="A54" s="1">
        <v>45867</v>
      </c>
      <c r="B54">
        <v>51</v>
      </c>
      <c r="C54">
        <v>0</v>
      </c>
      <c r="D54">
        <v>0</v>
      </c>
    </row>
    <row r="55" spans="1:4" x14ac:dyDescent="0.2">
      <c r="A55" s="1">
        <v>45867</v>
      </c>
      <c r="B55">
        <v>52</v>
      </c>
      <c r="C55">
        <v>12</v>
      </c>
      <c r="D55">
        <v>0</v>
      </c>
    </row>
    <row r="56" spans="1:4" x14ac:dyDescent="0.2">
      <c r="A56" s="1">
        <v>45867</v>
      </c>
      <c r="B56">
        <v>53</v>
      </c>
      <c r="C56">
        <v>10</v>
      </c>
      <c r="D56">
        <v>0</v>
      </c>
    </row>
    <row r="57" spans="1:4" x14ac:dyDescent="0.2">
      <c r="A57" s="1">
        <v>45867</v>
      </c>
      <c r="B57">
        <v>54</v>
      </c>
      <c r="C57">
        <v>6</v>
      </c>
      <c r="D57">
        <v>1</v>
      </c>
    </row>
    <row r="58" spans="1:4" x14ac:dyDescent="0.2">
      <c r="A58" s="1">
        <v>45867</v>
      </c>
      <c r="B58">
        <v>55</v>
      </c>
      <c r="C58">
        <v>0</v>
      </c>
      <c r="D58">
        <v>0</v>
      </c>
    </row>
    <row r="59" spans="1:4" x14ac:dyDescent="0.2">
      <c r="A59" s="1">
        <v>45867</v>
      </c>
      <c r="B59">
        <v>56</v>
      </c>
      <c r="C59">
        <v>26</v>
      </c>
      <c r="D59">
        <v>0</v>
      </c>
    </row>
    <row r="60" spans="1:4" x14ac:dyDescent="0.2">
      <c r="A60" s="1">
        <v>45867</v>
      </c>
      <c r="B60">
        <v>57</v>
      </c>
      <c r="C60">
        <v>15</v>
      </c>
      <c r="D60">
        <v>1</v>
      </c>
    </row>
    <row r="61" spans="1:4" x14ac:dyDescent="0.2">
      <c r="A61" s="1">
        <v>45867</v>
      </c>
      <c r="B61">
        <v>58</v>
      </c>
      <c r="C61">
        <v>7</v>
      </c>
      <c r="D61">
        <v>0</v>
      </c>
    </row>
    <row r="62" spans="1:4" x14ac:dyDescent="0.2">
      <c r="A62" s="1">
        <v>45867</v>
      </c>
      <c r="B62">
        <v>59</v>
      </c>
      <c r="C62">
        <v>12</v>
      </c>
      <c r="D62">
        <v>0</v>
      </c>
    </row>
    <row r="63" spans="1:4" x14ac:dyDescent="0.2">
      <c r="A63" s="1">
        <v>45867</v>
      </c>
      <c r="B63">
        <v>60</v>
      </c>
      <c r="C63">
        <v>94</v>
      </c>
      <c r="D63">
        <v>0</v>
      </c>
    </row>
    <row r="64" spans="1:4" x14ac:dyDescent="0.2">
      <c r="A64" s="1">
        <v>45867</v>
      </c>
      <c r="B64">
        <v>61</v>
      </c>
      <c r="C64">
        <v>29</v>
      </c>
      <c r="D64">
        <v>0</v>
      </c>
    </row>
    <row r="65" spans="1:4" x14ac:dyDescent="0.2">
      <c r="A65" s="1">
        <v>45867</v>
      </c>
      <c r="B65">
        <v>62</v>
      </c>
      <c r="C65">
        <v>4</v>
      </c>
      <c r="D65">
        <v>0</v>
      </c>
    </row>
    <row r="66" spans="1:4" x14ac:dyDescent="0.2">
      <c r="A66" s="1">
        <v>45867</v>
      </c>
      <c r="B66">
        <v>63</v>
      </c>
      <c r="C66">
        <v>1</v>
      </c>
      <c r="D66">
        <v>0</v>
      </c>
    </row>
    <row r="67" spans="1:4" x14ac:dyDescent="0.2">
      <c r="A67" s="1">
        <v>45867</v>
      </c>
      <c r="B67">
        <v>64</v>
      </c>
      <c r="C67">
        <v>29</v>
      </c>
      <c r="D6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5B3A-8099-4D17-A0B7-5A97FDFD5ECF}">
  <dimension ref="A1:K207"/>
  <sheetViews>
    <sheetView zoomScale="110" zoomScaleNormal="110" workbookViewId="0">
      <selection activeCell="E20" sqref="E20"/>
    </sheetView>
  </sheetViews>
  <sheetFormatPr baseColWidth="10" defaultColWidth="8.83203125" defaultRowHeight="15" x14ac:dyDescent="0.2"/>
  <cols>
    <col min="1" max="1" width="9.1640625" bestFit="1" customWidth="1"/>
  </cols>
  <sheetData>
    <row r="1" spans="1:11" x14ac:dyDescent="0.2">
      <c r="G1" t="s">
        <v>152</v>
      </c>
    </row>
    <row r="2" spans="1:11" x14ac:dyDescent="0.2">
      <c r="A2" t="s">
        <v>4</v>
      </c>
      <c r="B2" t="s">
        <v>10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12</v>
      </c>
      <c r="J2" t="s">
        <v>20</v>
      </c>
      <c r="K2" t="s">
        <v>21</v>
      </c>
    </row>
    <row r="3" spans="1:11" x14ac:dyDescent="0.2">
      <c r="A3" s="1">
        <v>45840</v>
      </c>
      <c r="B3">
        <v>3</v>
      </c>
      <c r="C3">
        <v>1</v>
      </c>
      <c r="D3">
        <v>65</v>
      </c>
      <c r="E3">
        <v>56</v>
      </c>
      <c r="F3">
        <v>11</v>
      </c>
      <c r="G3" t="s">
        <v>40</v>
      </c>
      <c r="I3">
        <v>5</v>
      </c>
      <c r="K3" t="s">
        <v>22</v>
      </c>
    </row>
    <row r="4" spans="1:11" x14ac:dyDescent="0.2">
      <c r="A4" s="1">
        <v>45840</v>
      </c>
      <c r="B4">
        <v>3</v>
      </c>
      <c r="C4">
        <v>2</v>
      </c>
      <c r="D4">
        <v>72</v>
      </c>
      <c r="E4">
        <v>61</v>
      </c>
      <c r="F4">
        <v>8</v>
      </c>
      <c r="G4" t="s">
        <v>45</v>
      </c>
      <c r="I4">
        <v>0</v>
      </c>
      <c r="K4" t="s">
        <v>22</v>
      </c>
    </row>
    <row r="5" spans="1:11" x14ac:dyDescent="0.2">
      <c r="A5" s="1">
        <v>45840</v>
      </c>
      <c r="B5">
        <v>8</v>
      </c>
      <c r="C5">
        <v>1</v>
      </c>
      <c r="D5">
        <v>24</v>
      </c>
      <c r="E5">
        <v>37</v>
      </c>
      <c r="F5">
        <v>6</v>
      </c>
      <c r="G5" t="s">
        <v>41</v>
      </c>
      <c r="I5">
        <v>0</v>
      </c>
      <c r="K5" t="s">
        <v>22</v>
      </c>
    </row>
    <row r="6" spans="1:11" x14ac:dyDescent="0.2">
      <c r="A6" s="1">
        <v>45840</v>
      </c>
      <c r="B6">
        <v>13</v>
      </c>
      <c r="C6">
        <v>1</v>
      </c>
      <c r="D6">
        <v>55</v>
      </c>
      <c r="E6">
        <v>57</v>
      </c>
      <c r="F6">
        <v>7</v>
      </c>
      <c r="G6" t="s">
        <v>42</v>
      </c>
      <c r="I6">
        <v>2</v>
      </c>
      <c r="K6" t="s">
        <v>22</v>
      </c>
    </row>
    <row r="7" spans="1:11" x14ac:dyDescent="0.2">
      <c r="A7" s="1">
        <v>45840</v>
      </c>
      <c r="B7">
        <v>21</v>
      </c>
      <c r="C7">
        <v>1</v>
      </c>
      <c r="D7">
        <v>63</v>
      </c>
      <c r="E7">
        <v>82</v>
      </c>
      <c r="F7">
        <v>8</v>
      </c>
      <c r="G7" t="s">
        <v>45</v>
      </c>
      <c r="I7">
        <v>0</v>
      </c>
      <c r="K7" t="s">
        <v>22</v>
      </c>
    </row>
    <row r="8" spans="1:11" x14ac:dyDescent="0.2">
      <c r="A8" s="1">
        <v>45840</v>
      </c>
      <c r="B8">
        <v>22</v>
      </c>
      <c r="C8">
        <v>1</v>
      </c>
      <c r="D8">
        <v>34</v>
      </c>
      <c r="E8">
        <v>32</v>
      </c>
      <c r="F8">
        <v>8</v>
      </c>
      <c r="G8" t="s">
        <v>42</v>
      </c>
      <c r="I8">
        <v>5</v>
      </c>
      <c r="K8" t="s">
        <v>22</v>
      </c>
    </row>
    <row r="9" spans="1:11" x14ac:dyDescent="0.2">
      <c r="A9" s="1">
        <v>45840</v>
      </c>
      <c r="B9">
        <v>22</v>
      </c>
      <c r="C9">
        <v>2</v>
      </c>
      <c r="D9">
        <v>50</v>
      </c>
      <c r="E9">
        <v>46</v>
      </c>
      <c r="F9">
        <v>14</v>
      </c>
      <c r="G9" t="s">
        <v>45</v>
      </c>
      <c r="I9">
        <v>0</v>
      </c>
      <c r="K9" t="s">
        <v>22</v>
      </c>
    </row>
    <row r="10" spans="1:11" x14ac:dyDescent="0.2">
      <c r="A10" s="1">
        <v>45840</v>
      </c>
      <c r="B10">
        <v>26</v>
      </c>
      <c r="C10">
        <v>1</v>
      </c>
      <c r="D10">
        <v>37</v>
      </c>
      <c r="E10">
        <v>39</v>
      </c>
      <c r="F10">
        <v>10</v>
      </c>
      <c r="G10" t="s">
        <v>43</v>
      </c>
      <c r="I10">
        <v>5</v>
      </c>
      <c r="K10" t="s">
        <v>22</v>
      </c>
    </row>
    <row r="11" spans="1:11" x14ac:dyDescent="0.2">
      <c r="A11" s="1">
        <v>45840</v>
      </c>
      <c r="B11">
        <v>31</v>
      </c>
      <c r="C11">
        <v>1</v>
      </c>
      <c r="D11">
        <v>43</v>
      </c>
      <c r="E11">
        <v>67</v>
      </c>
      <c r="F11">
        <v>8</v>
      </c>
      <c r="G11" t="s">
        <v>44</v>
      </c>
      <c r="I11">
        <v>0</v>
      </c>
      <c r="K11" t="s">
        <v>22</v>
      </c>
    </row>
    <row r="12" spans="1:11" x14ac:dyDescent="0.2">
      <c r="A12" s="1">
        <v>45840</v>
      </c>
      <c r="B12">
        <v>42</v>
      </c>
      <c r="C12">
        <v>1</v>
      </c>
      <c r="D12">
        <v>54</v>
      </c>
      <c r="E12">
        <v>50</v>
      </c>
      <c r="F12">
        <v>12</v>
      </c>
      <c r="G12" t="s">
        <v>41</v>
      </c>
      <c r="I12">
        <v>0</v>
      </c>
      <c r="K12" t="s">
        <v>22</v>
      </c>
    </row>
    <row r="13" spans="1:11" x14ac:dyDescent="0.2">
      <c r="A13" s="1">
        <v>45840</v>
      </c>
      <c r="B13">
        <v>45</v>
      </c>
      <c r="C13">
        <v>1</v>
      </c>
      <c r="D13">
        <v>50</v>
      </c>
      <c r="E13">
        <v>40</v>
      </c>
      <c r="F13">
        <v>10</v>
      </c>
      <c r="I13">
        <v>20</v>
      </c>
      <c r="K13" t="s">
        <v>22</v>
      </c>
    </row>
    <row r="14" spans="1:11" x14ac:dyDescent="0.2">
      <c r="A14" s="1">
        <v>45840</v>
      </c>
      <c r="B14">
        <v>45</v>
      </c>
      <c r="C14">
        <v>2</v>
      </c>
      <c r="D14">
        <v>54</v>
      </c>
      <c r="E14">
        <v>54</v>
      </c>
      <c r="F14">
        <v>7</v>
      </c>
      <c r="I14">
        <v>5</v>
      </c>
      <c r="K14" t="s">
        <v>22</v>
      </c>
    </row>
    <row r="15" spans="1:11" x14ac:dyDescent="0.2">
      <c r="A15" s="1">
        <v>45845</v>
      </c>
      <c r="B15">
        <v>1</v>
      </c>
      <c r="C15">
        <v>1</v>
      </c>
      <c r="D15">
        <v>46</v>
      </c>
      <c r="E15">
        <v>34</v>
      </c>
      <c r="F15">
        <v>12</v>
      </c>
      <c r="G15" t="s">
        <v>45</v>
      </c>
      <c r="I15">
        <v>0</v>
      </c>
    </row>
    <row r="16" spans="1:11" x14ac:dyDescent="0.2">
      <c r="A16" s="1">
        <v>45845</v>
      </c>
      <c r="B16">
        <v>2</v>
      </c>
      <c r="C16">
        <v>1</v>
      </c>
      <c r="D16">
        <v>87</v>
      </c>
      <c r="E16">
        <v>73</v>
      </c>
      <c r="F16">
        <v>11</v>
      </c>
      <c r="G16" t="s">
        <v>45</v>
      </c>
      <c r="I16">
        <v>0</v>
      </c>
    </row>
    <row r="17" spans="1:11" x14ac:dyDescent="0.2">
      <c r="A17" s="1">
        <v>45845</v>
      </c>
      <c r="B17">
        <v>3</v>
      </c>
      <c r="C17">
        <v>1</v>
      </c>
      <c r="D17">
        <v>75</v>
      </c>
      <c r="E17">
        <v>67</v>
      </c>
      <c r="F17">
        <v>13</v>
      </c>
      <c r="G17" t="s">
        <v>46</v>
      </c>
      <c r="I17">
        <v>0</v>
      </c>
    </row>
    <row r="18" spans="1:11" x14ac:dyDescent="0.2">
      <c r="A18" s="1">
        <v>45845</v>
      </c>
      <c r="B18">
        <v>3</v>
      </c>
      <c r="C18">
        <v>2</v>
      </c>
      <c r="D18">
        <v>40</v>
      </c>
      <c r="E18">
        <v>35</v>
      </c>
      <c r="F18">
        <v>4</v>
      </c>
      <c r="G18" t="s">
        <v>47</v>
      </c>
      <c r="I18">
        <v>0</v>
      </c>
    </row>
    <row r="19" spans="1:11" x14ac:dyDescent="0.2">
      <c r="A19" s="1">
        <v>45845</v>
      </c>
      <c r="B19">
        <v>3</v>
      </c>
      <c r="C19">
        <v>3</v>
      </c>
      <c r="D19">
        <v>116</v>
      </c>
      <c r="E19">
        <v>105</v>
      </c>
      <c r="F19">
        <v>19</v>
      </c>
      <c r="G19" t="s">
        <v>48</v>
      </c>
      <c r="I19">
        <v>0</v>
      </c>
    </row>
    <row r="20" spans="1:11" x14ac:dyDescent="0.2">
      <c r="A20" s="1">
        <v>45845</v>
      </c>
      <c r="B20">
        <v>5</v>
      </c>
      <c r="C20">
        <v>1</v>
      </c>
      <c r="D20">
        <v>41</v>
      </c>
      <c r="E20">
        <v>51</v>
      </c>
      <c r="F20">
        <v>11</v>
      </c>
      <c r="G20" t="s">
        <v>49</v>
      </c>
      <c r="I20">
        <v>10</v>
      </c>
    </row>
    <row r="21" spans="1:11" x14ac:dyDescent="0.2">
      <c r="A21" s="1">
        <v>45845</v>
      </c>
      <c r="B21">
        <v>6</v>
      </c>
      <c r="C21">
        <v>1</v>
      </c>
      <c r="D21">
        <v>60</v>
      </c>
      <c r="E21">
        <v>48</v>
      </c>
      <c r="F21">
        <v>9</v>
      </c>
      <c r="G21" t="s">
        <v>43</v>
      </c>
      <c r="I21">
        <v>0</v>
      </c>
    </row>
    <row r="22" spans="1:11" x14ac:dyDescent="0.2">
      <c r="A22" s="1">
        <v>45845</v>
      </c>
      <c r="B22">
        <v>7</v>
      </c>
      <c r="C22">
        <v>1</v>
      </c>
      <c r="D22">
        <v>41</v>
      </c>
      <c r="E22">
        <v>35</v>
      </c>
      <c r="F22">
        <v>7</v>
      </c>
      <c r="G22" t="s">
        <v>50</v>
      </c>
      <c r="I22">
        <v>0</v>
      </c>
    </row>
    <row r="23" spans="1:11" x14ac:dyDescent="0.2">
      <c r="A23" s="1">
        <v>45845</v>
      </c>
      <c r="B23">
        <v>8</v>
      </c>
      <c r="C23">
        <v>1</v>
      </c>
      <c r="D23">
        <v>48</v>
      </c>
      <c r="E23">
        <v>51</v>
      </c>
      <c r="F23">
        <v>6</v>
      </c>
      <c r="G23" t="s">
        <v>44</v>
      </c>
      <c r="I23">
        <v>0</v>
      </c>
      <c r="K23" t="s">
        <v>35</v>
      </c>
    </row>
    <row r="24" spans="1:11" x14ac:dyDescent="0.2">
      <c r="A24" s="1">
        <v>45845</v>
      </c>
      <c r="B24">
        <v>8</v>
      </c>
      <c r="C24">
        <v>2</v>
      </c>
      <c r="D24">
        <v>38</v>
      </c>
      <c r="E24">
        <v>58</v>
      </c>
      <c r="F24">
        <v>10</v>
      </c>
      <c r="G24" t="s">
        <v>41</v>
      </c>
      <c r="I24">
        <v>5</v>
      </c>
    </row>
    <row r="25" spans="1:11" x14ac:dyDescent="0.2">
      <c r="A25" s="1">
        <v>45845</v>
      </c>
      <c r="B25">
        <v>9</v>
      </c>
      <c r="C25">
        <v>1</v>
      </c>
      <c r="D25">
        <v>30</v>
      </c>
      <c r="E25">
        <v>28</v>
      </c>
      <c r="F25">
        <v>6</v>
      </c>
      <c r="G25" t="s">
        <v>48</v>
      </c>
      <c r="I25">
        <v>5</v>
      </c>
    </row>
    <row r="26" spans="1:11" x14ac:dyDescent="0.2">
      <c r="A26" s="1">
        <v>45845</v>
      </c>
      <c r="B26">
        <v>10</v>
      </c>
      <c r="C26">
        <v>1</v>
      </c>
      <c r="D26">
        <v>53</v>
      </c>
      <c r="E26">
        <v>40</v>
      </c>
      <c r="F26">
        <v>10</v>
      </c>
      <c r="G26" t="s">
        <v>43</v>
      </c>
      <c r="I26">
        <v>0</v>
      </c>
    </row>
    <row r="27" spans="1:11" x14ac:dyDescent="0.2">
      <c r="A27" s="1">
        <v>45845</v>
      </c>
      <c r="B27">
        <v>11</v>
      </c>
      <c r="C27">
        <v>1</v>
      </c>
      <c r="D27">
        <v>39</v>
      </c>
      <c r="E27">
        <v>37</v>
      </c>
      <c r="F27">
        <v>5</v>
      </c>
      <c r="G27" t="s">
        <v>50</v>
      </c>
      <c r="I27">
        <v>0</v>
      </c>
    </row>
    <row r="28" spans="1:11" x14ac:dyDescent="0.2">
      <c r="A28" s="1">
        <v>45845</v>
      </c>
      <c r="B28">
        <v>13</v>
      </c>
      <c r="C28">
        <v>1</v>
      </c>
      <c r="D28">
        <v>67</v>
      </c>
      <c r="E28">
        <v>84</v>
      </c>
      <c r="F28">
        <v>9</v>
      </c>
      <c r="G28" t="s">
        <v>50</v>
      </c>
      <c r="I28">
        <v>5</v>
      </c>
    </row>
    <row r="29" spans="1:11" x14ac:dyDescent="0.2">
      <c r="A29" s="1">
        <v>45845</v>
      </c>
      <c r="B29">
        <v>15</v>
      </c>
      <c r="C29">
        <v>1</v>
      </c>
      <c r="D29">
        <v>37</v>
      </c>
      <c r="E29">
        <v>46</v>
      </c>
      <c r="F29">
        <v>7</v>
      </c>
      <c r="G29" t="s">
        <v>51</v>
      </c>
      <c r="I29">
        <v>0</v>
      </c>
    </row>
    <row r="30" spans="1:11" x14ac:dyDescent="0.2">
      <c r="A30" s="1">
        <v>45845</v>
      </c>
      <c r="B30">
        <v>16</v>
      </c>
      <c r="C30">
        <v>1</v>
      </c>
      <c r="D30">
        <v>80</v>
      </c>
      <c r="E30">
        <v>70</v>
      </c>
      <c r="F30">
        <v>8</v>
      </c>
      <c r="G30" t="s">
        <v>41</v>
      </c>
      <c r="I30">
        <v>0</v>
      </c>
    </row>
    <row r="31" spans="1:11" x14ac:dyDescent="0.2">
      <c r="A31" s="1">
        <v>45845</v>
      </c>
      <c r="B31">
        <v>16</v>
      </c>
      <c r="C31">
        <v>2</v>
      </c>
      <c r="D31">
        <v>36</v>
      </c>
      <c r="E31">
        <v>42</v>
      </c>
      <c r="F31">
        <v>4</v>
      </c>
      <c r="G31" t="s">
        <v>51</v>
      </c>
      <c r="I31">
        <v>0</v>
      </c>
    </row>
    <row r="32" spans="1:11" x14ac:dyDescent="0.2">
      <c r="A32" s="1">
        <v>45845</v>
      </c>
      <c r="B32">
        <v>20</v>
      </c>
      <c r="C32">
        <v>1</v>
      </c>
      <c r="D32">
        <v>36</v>
      </c>
      <c r="E32">
        <v>54</v>
      </c>
      <c r="F32">
        <v>9</v>
      </c>
      <c r="G32" t="s">
        <v>46</v>
      </c>
      <c r="I32">
        <v>5</v>
      </c>
    </row>
    <row r="33" spans="1:9" x14ac:dyDescent="0.2">
      <c r="A33" s="1">
        <v>45845</v>
      </c>
      <c r="B33">
        <v>21</v>
      </c>
      <c r="C33">
        <v>1</v>
      </c>
      <c r="D33">
        <v>27</v>
      </c>
      <c r="E33">
        <v>32</v>
      </c>
      <c r="F33">
        <v>6</v>
      </c>
      <c r="G33" t="s">
        <v>52</v>
      </c>
      <c r="I33">
        <v>0</v>
      </c>
    </row>
    <row r="34" spans="1:9" x14ac:dyDescent="0.2">
      <c r="A34" s="1">
        <v>45845</v>
      </c>
      <c r="B34">
        <v>22</v>
      </c>
      <c r="C34">
        <v>1</v>
      </c>
      <c r="D34">
        <v>47</v>
      </c>
      <c r="E34">
        <v>48</v>
      </c>
      <c r="F34">
        <v>9</v>
      </c>
      <c r="G34" t="s">
        <v>45</v>
      </c>
      <c r="I34">
        <v>0</v>
      </c>
    </row>
    <row r="35" spans="1:9" x14ac:dyDescent="0.2">
      <c r="A35" s="1">
        <v>45845</v>
      </c>
      <c r="B35">
        <v>22</v>
      </c>
      <c r="C35">
        <v>2</v>
      </c>
      <c r="D35">
        <v>19</v>
      </c>
      <c r="E35">
        <v>20</v>
      </c>
      <c r="F35">
        <v>5</v>
      </c>
      <c r="G35" t="s">
        <v>41</v>
      </c>
      <c r="I35">
        <v>0</v>
      </c>
    </row>
    <row r="36" spans="1:9" x14ac:dyDescent="0.2">
      <c r="A36" s="1">
        <v>45845</v>
      </c>
      <c r="B36">
        <v>22</v>
      </c>
      <c r="C36">
        <v>3</v>
      </c>
      <c r="D36">
        <v>31</v>
      </c>
      <c r="E36">
        <v>37</v>
      </c>
      <c r="F36">
        <v>5</v>
      </c>
      <c r="G36" t="s">
        <v>42</v>
      </c>
      <c r="I36">
        <v>0</v>
      </c>
    </row>
    <row r="37" spans="1:9" x14ac:dyDescent="0.2">
      <c r="A37" s="1">
        <v>45845</v>
      </c>
      <c r="B37">
        <v>23</v>
      </c>
      <c r="C37">
        <v>1</v>
      </c>
      <c r="D37">
        <v>37</v>
      </c>
      <c r="E37">
        <v>29</v>
      </c>
      <c r="F37">
        <v>5</v>
      </c>
      <c r="G37" t="s">
        <v>52</v>
      </c>
      <c r="I37">
        <v>0</v>
      </c>
    </row>
    <row r="38" spans="1:9" x14ac:dyDescent="0.2">
      <c r="A38" s="1">
        <v>45845</v>
      </c>
      <c r="B38">
        <v>23</v>
      </c>
      <c r="C38">
        <v>2</v>
      </c>
      <c r="D38">
        <v>63</v>
      </c>
      <c r="E38">
        <v>40</v>
      </c>
      <c r="F38">
        <v>6</v>
      </c>
      <c r="G38" t="s">
        <v>53</v>
      </c>
      <c r="I38">
        <v>5</v>
      </c>
    </row>
    <row r="39" spans="1:9" x14ac:dyDescent="0.2">
      <c r="A39" s="1">
        <v>45845</v>
      </c>
      <c r="B39">
        <v>24</v>
      </c>
      <c r="C39">
        <v>1</v>
      </c>
      <c r="D39">
        <v>54</v>
      </c>
      <c r="E39">
        <v>52</v>
      </c>
      <c r="F39">
        <v>13</v>
      </c>
      <c r="G39" t="s">
        <v>45</v>
      </c>
      <c r="I39">
        <v>5</v>
      </c>
    </row>
    <row r="40" spans="1:9" x14ac:dyDescent="0.2">
      <c r="A40" s="1">
        <v>45845</v>
      </c>
      <c r="B40">
        <v>25</v>
      </c>
      <c r="C40">
        <v>1</v>
      </c>
      <c r="D40">
        <v>42</v>
      </c>
      <c r="E40">
        <v>44</v>
      </c>
      <c r="F40">
        <v>10</v>
      </c>
      <c r="G40" t="s">
        <v>45</v>
      </c>
      <c r="I40">
        <v>5</v>
      </c>
    </row>
    <row r="41" spans="1:9" x14ac:dyDescent="0.2">
      <c r="A41" s="1">
        <v>45845</v>
      </c>
      <c r="B41">
        <v>26</v>
      </c>
      <c r="C41">
        <v>1</v>
      </c>
      <c r="D41">
        <v>40</v>
      </c>
      <c r="E41">
        <v>42</v>
      </c>
      <c r="F41">
        <v>9</v>
      </c>
      <c r="G41" t="s">
        <v>51</v>
      </c>
      <c r="I41">
        <v>0</v>
      </c>
    </row>
    <row r="42" spans="1:9" x14ac:dyDescent="0.2">
      <c r="A42" s="1">
        <v>45845</v>
      </c>
      <c r="B42">
        <v>27</v>
      </c>
      <c r="C42">
        <v>1</v>
      </c>
      <c r="D42">
        <v>47</v>
      </c>
      <c r="E42">
        <v>50</v>
      </c>
      <c r="F42">
        <v>11</v>
      </c>
      <c r="G42" t="s">
        <v>44</v>
      </c>
      <c r="I42">
        <v>2</v>
      </c>
    </row>
    <row r="43" spans="1:9" x14ac:dyDescent="0.2">
      <c r="A43" s="1">
        <v>45845</v>
      </c>
      <c r="B43">
        <v>29</v>
      </c>
      <c r="C43">
        <v>1</v>
      </c>
      <c r="D43">
        <v>38</v>
      </c>
      <c r="E43">
        <v>39</v>
      </c>
      <c r="F43">
        <v>7</v>
      </c>
      <c r="G43" t="s">
        <v>41</v>
      </c>
      <c r="I43">
        <v>10</v>
      </c>
    </row>
    <row r="44" spans="1:9" x14ac:dyDescent="0.2">
      <c r="A44" s="1">
        <v>45845</v>
      </c>
      <c r="B44">
        <v>30</v>
      </c>
      <c r="C44">
        <v>1</v>
      </c>
      <c r="D44">
        <v>46</v>
      </c>
      <c r="E44">
        <v>40</v>
      </c>
      <c r="F44">
        <v>13</v>
      </c>
      <c r="G44" t="s">
        <v>45</v>
      </c>
      <c r="I44">
        <v>3</v>
      </c>
    </row>
    <row r="45" spans="1:9" x14ac:dyDescent="0.2">
      <c r="A45" s="1">
        <v>45845</v>
      </c>
      <c r="B45">
        <v>31</v>
      </c>
      <c r="C45">
        <v>1</v>
      </c>
      <c r="D45">
        <v>58</v>
      </c>
      <c r="E45">
        <v>50</v>
      </c>
      <c r="F45">
        <v>12</v>
      </c>
      <c r="G45" t="s">
        <v>52</v>
      </c>
      <c r="I45">
        <v>10</v>
      </c>
    </row>
    <row r="46" spans="1:9" x14ac:dyDescent="0.2">
      <c r="A46" s="1">
        <v>45845</v>
      </c>
      <c r="B46">
        <v>36</v>
      </c>
      <c r="C46">
        <v>1</v>
      </c>
      <c r="D46">
        <v>40</v>
      </c>
      <c r="E46">
        <v>34</v>
      </c>
      <c r="F46">
        <v>10</v>
      </c>
      <c r="G46" t="s">
        <v>54</v>
      </c>
      <c r="I46">
        <v>0</v>
      </c>
    </row>
    <row r="47" spans="1:9" x14ac:dyDescent="0.2">
      <c r="A47" s="1">
        <v>45845</v>
      </c>
      <c r="B47">
        <v>39</v>
      </c>
      <c r="C47">
        <v>1</v>
      </c>
      <c r="D47">
        <v>34</v>
      </c>
      <c r="E47">
        <v>28</v>
      </c>
      <c r="F47">
        <v>9</v>
      </c>
      <c r="G47" t="s">
        <v>44</v>
      </c>
      <c r="I47">
        <v>0</v>
      </c>
    </row>
    <row r="48" spans="1:9" x14ac:dyDescent="0.2">
      <c r="A48" s="1">
        <v>45845</v>
      </c>
      <c r="B48">
        <v>40</v>
      </c>
      <c r="C48">
        <v>1</v>
      </c>
      <c r="D48">
        <v>61</v>
      </c>
      <c r="E48">
        <v>52</v>
      </c>
      <c r="F48">
        <v>8</v>
      </c>
      <c r="G48" t="s">
        <v>46</v>
      </c>
      <c r="I48">
        <v>0</v>
      </c>
    </row>
    <row r="49" spans="1:10" x14ac:dyDescent="0.2">
      <c r="A49" s="1">
        <v>45845</v>
      </c>
      <c r="B49">
        <v>42</v>
      </c>
      <c r="C49">
        <v>1</v>
      </c>
      <c r="D49">
        <v>72</v>
      </c>
      <c r="E49">
        <v>65</v>
      </c>
      <c r="F49">
        <v>8</v>
      </c>
      <c r="G49" t="s">
        <v>41</v>
      </c>
      <c r="I49">
        <v>0</v>
      </c>
    </row>
    <row r="50" spans="1:10" x14ac:dyDescent="0.2">
      <c r="A50" s="1">
        <v>45845</v>
      </c>
      <c r="B50">
        <v>42</v>
      </c>
      <c r="C50">
        <v>2</v>
      </c>
      <c r="D50">
        <v>34</v>
      </c>
      <c r="E50">
        <v>36</v>
      </c>
      <c r="F50">
        <v>7</v>
      </c>
      <c r="G50" t="s">
        <v>52</v>
      </c>
      <c r="I50">
        <v>0</v>
      </c>
    </row>
    <row r="51" spans="1:10" x14ac:dyDescent="0.2">
      <c r="A51" s="1">
        <v>45845</v>
      </c>
      <c r="B51">
        <v>47</v>
      </c>
      <c r="C51">
        <v>1</v>
      </c>
      <c r="D51">
        <v>29</v>
      </c>
      <c r="E51">
        <v>32</v>
      </c>
      <c r="F51">
        <v>6</v>
      </c>
      <c r="G51" t="s">
        <v>43</v>
      </c>
      <c r="I51">
        <v>5</v>
      </c>
    </row>
    <row r="52" spans="1:10" x14ac:dyDescent="0.2">
      <c r="A52" s="1">
        <v>45845</v>
      </c>
      <c r="B52">
        <v>51</v>
      </c>
      <c r="C52">
        <v>1</v>
      </c>
      <c r="D52">
        <v>49</v>
      </c>
      <c r="E52">
        <v>53</v>
      </c>
      <c r="F52">
        <v>7</v>
      </c>
      <c r="G52" t="s">
        <v>41</v>
      </c>
      <c r="I52">
        <v>2</v>
      </c>
      <c r="J52" t="s">
        <v>36</v>
      </c>
    </row>
    <row r="53" spans="1:10" x14ac:dyDescent="0.2">
      <c r="A53" s="1">
        <v>45845</v>
      </c>
      <c r="B53">
        <v>51</v>
      </c>
      <c r="C53">
        <v>2</v>
      </c>
      <c r="D53">
        <v>66</v>
      </c>
      <c r="E53">
        <v>72</v>
      </c>
      <c r="F53">
        <v>9</v>
      </c>
      <c r="G53" t="s">
        <v>43</v>
      </c>
      <c r="I53">
        <v>10</v>
      </c>
      <c r="J53" t="s">
        <v>36</v>
      </c>
    </row>
    <row r="54" spans="1:10" x14ac:dyDescent="0.2">
      <c r="A54" s="1">
        <v>45845</v>
      </c>
      <c r="B54">
        <v>54</v>
      </c>
      <c r="C54">
        <v>1</v>
      </c>
      <c r="D54">
        <v>58</v>
      </c>
      <c r="E54">
        <v>65</v>
      </c>
      <c r="F54">
        <v>8</v>
      </c>
      <c r="G54" t="s">
        <v>49</v>
      </c>
      <c r="I54">
        <v>5</v>
      </c>
    </row>
    <row r="55" spans="1:10" x14ac:dyDescent="0.2">
      <c r="A55" s="1">
        <v>45845</v>
      </c>
      <c r="B55">
        <v>55</v>
      </c>
      <c r="C55">
        <v>1</v>
      </c>
      <c r="D55">
        <v>46</v>
      </c>
      <c r="E55">
        <v>42</v>
      </c>
      <c r="F55">
        <v>8</v>
      </c>
      <c r="G55" t="s">
        <v>43</v>
      </c>
      <c r="I55">
        <v>10</v>
      </c>
    </row>
    <row r="56" spans="1:10" x14ac:dyDescent="0.2">
      <c r="A56" s="1">
        <v>45845</v>
      </c>
      <c r="B56">
        <v>57</v>
      </c>
      <c r="C56">
        <v>1</v>
      </c>
      <c r="D56">
        <v>34</v>
      </c>
      <c r="E56">
        <v>39</v>
      </c>
      <c r="F56">
        <v>5</v>
      </c>
      <c r="G56" t="s">
        <v>45</v>
      </c>
      <c r="I56">
        <v>0</v>
      </c>
    </row>
    <row r="57" spans="1:10" x14ac:dyDescent="0.2">
      <c r="A57" s="1">
        <v>45845</v>
      </c>
      <c r="B57">
        <v>57</v>
      </c>
      <c r="C57">
        <v>2</v>
      </c>
      <c r="D57">
        <v>48</v>
      </c>
      <c r="E57">
        <v>51</v>
      </c>
      <c r="F57">
        <v>6</v>
      </c>
      <c r="G57" t="s">
        <v>45</v>
      </c>
      <c r="I57">
        <v>10</v>
      </c>
    </row>
    <row r="58" spans="1:10" x14ac:dyDescent="0.2">
      <c r="A58" s="1">
        <v>45845</v>
      </c>
      <c r="B58">
        <v>60</v>
      </c>
      <c r="C58">
        <v>1</v>
      </c>
      <c r="D58">
        <v>46</v>
      </c>
      <c r="E58">
        <v>40</v>
      </c>
      <c r="F58">
        <v>3</v>
      </c>
      <c r="G58" t="s">
        <v>54</v>
      </c>
      <c r="I58">
        <v>0</v>
      </c>
    </row>
    <row r="59" spans="1:10" x14ac:dyDescent="0.2">
      <c r="A59" s="1">
        <v>45845</v>
      </c>
      <c r="B59">
        <v>60</v>
      </c>
      <c r="C59">
        <v>2</v>
      </c>
      <c r="D59">
        <v>32</v>
      </c>
      <c r="E59">
        <v>33</v>
      </c>
      <c r="F59">
        <v>2</v>
      </c>
      <c r="G59" t="s">
        <v>49</v>
      </c>
      <c r="I59">
        <v>0</v>
      </c>
    </row>
    <row r="60" spans="1:10" x14ac:dyDescent="0.2">
      <c r="A60" s="1">
        <v>45845</v>
      </c>
      <c r="B60">
        <v>61</v>
      </c>
      <c r="C60">
        <v>1</v>
      </c>
      <c r="D60">
        <v>43</v>
      </c>
      <c r="E60">
        <v>45</v>
      </c>
      <c r="F60">
        <v>7</v>
      </c>
      <c r="G60" t="s">
        <v>45</v>
      </c>
      <c r="I60">
        <v>50</v>
      </c>
    </row>
    <row r="61" spans="1:10" x14ac:dyDescent="0.2">
      <c r="A61" s="1">
        <v>45853</v>
      </c>
      <c r="B61">
        <v>60</v>
      </c>
      <c r="C61">
        <v>1</v>
      </c>
      <c r="D61">
        <v>48</v>
      </c>
      <c r="E61">
        <v>46</v>
      </c>
      <c r="F61">
        <v>9</v>
      </c>
      <c r="G61" t="s">
        <v>37</v>
      </c>
      <c r="H61" t="s">
        <v>37</v>
      </c>
      <c r="I61">
        <v>10</v>
      </c>
    </row>
    <row r="62" spans="1:10" x14ac:dyDescent="0.2">
      <c r="A62" s="1">
        <v>45853</v>
      </c>
      <c r="B62">
        <v>51</v>
      </c>
      <c r="C62">
        <v>1</v>
      </c>
      <c r="D62">
        <v>44</v>
      </c>
      <c r="E62">
        <v>54</v>
      </c>
      <c r="F62">
        <v>5</v>
      </c>
      <c r="G62">
        <v>85</v>
      </c>
      <c r="H62">
        <v>15</v>
      </c>
      <c r="I62">
        <v>15</v>
      </c>
    </row>
    <row r="63" spans="1:10" x14ac:dyDescent="0.2">
      <c r="A63" s="1">
        <v>45853</v>
      </c>
      <c r="B63">
        <v>51</v>
      </c>
      <c r="C63">
        <v>2</v>
      </c>
      <c r="D63">
        <v>36</v>
      </c>
      <c r="E63">
        <v>42</v>
      </c>
      <c r="F63">
        <v>5</v>
      </c>
      <c r="G63">
        <v>154</v>
      </c>
      <c r="H63">
        <v>35</v>
      </c>
      <c r="I63">
        <v>5</v>
      </c>
    </row>
    <row r="64" spans="1:10" x14ac:dyDescent="0.2">
      <c r="A64" s="1">
        <v>45853</v>
      </c>
      <c r="B64">
        <v>45</v>
      </c>
      <c r="C64">
        <v>1</v>
      </c>
      <c r="D64">
        <v>53</v>
      </c>
      <c r="E64">
        <v>57</v>
      </c>
      <c r="F64">
        <v>7</v>
      </c>
      <c r="G64">
        <v>144</v>
      </c>
      <c r="H64">
        <v>37</v>
      </c>
      <c r="I64">
        <v>0</v>
      </c>
    </row>
    <row r="65" spans="1:9" x14ac:dyDescent="0.2">
      <c r="A65" s="1">
        <v>45853</v>
      </c>
      <c r="B65">
        <v>45</v>
      </c>
      <c r="C65">
        <v>2</v>
      </c>
      <c r="D65">
        <v>35</v>
      </c>
      <c r="E65">
        <v>47</v>
      </c>
      <c r="F65">
        <v>9</v>
      </c>
      <c r="G65">
        <v>41</v>
      </c>
      <c r="H65">
        <v>62</v>
      </c>
      <c r="I65">
        <v>5</v>
      </c>
    </row>
    <row r="66" spans="1:9" x14ac:dyDescent="0.2">
      <c r="A66" s="1">
        <v>45853</v>
      </c>
      <c r="B66">
        <v>3</v>
      </c>
      <c r="C66">
        <v>1</v>
      </c>
      <c r="D66">
        <v>80</v>
      </c>
      <c r="E66">
        <v>68</v>
      </c>
      <c r="F66">
        <v>12</v>
      </c>
      <c r="G66">
        <v>41</v>
      </c>
      <c r="H66">
        <v>40</v>
      </c>
      <c r="I66">
        <v>0</v>
      </c>
    </row>
    <row r="67" spans="1:9" x14ac:dyDescent="0.2">
      <c r="A67" s="1">
        <v>45853</v>
      </c>
      <c r="B67">
        <v>3</v>
      </c>
      <c r="C67">
        <v>2</v>
      </c>
      <c r="D67">
        <v>50</v>
      </c>
      <c r="E67">
        <v>67</v>
      </c>
      <c r="F67">
        <v>12</v>
      </c>
      <c r="G67" t="s">
        <v>37</v>
      </c>
      <c r="H67" t="s">
        <v>37</v>
      </c>
      <c r="I67">
        <v>0</v>
      </c>
    </row>
    <row r="68" spans="1:9" x14ac:dyDescent="0.2">
      <c r="A68" s="1">
        <v>45853</v>
      </c>
      <c r="B68">
        <v>3</v>
      </c>
      <c r="C68">
        <v>3</v>
      </c>
      <c r="D68">
        <v>83</v>
      </c>
      <c r="E68">
        <v>98</v>
      </c>
      <c r="F68">
        <v>20</v>
      </c>
      <c r="G68" t="s">
        <v>37</v>
      </c>
      <c r="H68" t="s">
        <v>37</v>
      </c>
      <c r="I68">
        <v>0</v>
      </c>
    </row>
    <row r="69" spans="1:9" x14ac:dyDescent="0.2">
      <c r="A69" s="1">
        <v>45853</v>
      </c>
      <c r="B69">
        <v>5</v>
      </c>
      <c r="C69">
        <v>1</v>
      </c>
      <c r="D69">
        <v>30</v>
      </c>
      <c r="E69">
        <v>36</v>
      </c>
      <c r="F69">
        <v>10</v>
      </c>
      <c r="G69" t="s">
        <v>37</v>
      </c>
      <c r="H69" t="s">
        <v>37</v>
      </c>
      <c r="I69">
        <v>0</v>
      </c>
    </row>
    <row r="70" spans="1:9" x14ac:dyDescent="0.2">
      <c r="A70" s="1">
        <v>45853</v>
      </c>
      <c r="B70">
        <v>5</v>
      </c>
      <c r="C70">
        <v>2</v>
      </c>
      <c r="D70">
        <v>30</v>
      </c>
      <c r="E70">
        <v>46</v>
      </c>
      <c r="F70">
        <v>8</v>
      </c>
      <c r="G70" t="s">
        <v>37</v>
      </c>
      <c r="H70" t="s">
        <v>37</v>
      </c>
      <c r="I70">
        <v>5</v>
      </c>
    </row>
    <row r="71" spans="1:9" x14ac:dyDescent="0.2">
      <c r="A71" s="1">
        <v>45853</v>
      </c>
      <c r="B71">
        <v>7</v>
      </c>
      <c r="C71">
        <v>1</v>
      </c>
      <c r="D71">
        <v>43</v>
      </c>
      <c r="E71">
        <v>44</v>
      </c>
      <c r="F71">
        <v>11</v>
      </c>
      <c r="G71">
        <v>200</v>
      </c>
      <c r="H71">
        <v>0</v>
      </c>
      <c r="I71">
        <v>0</v>
      </c>
    </row>
    <row r="72" spans="1:9" x14ac:dyDescent="0.2">
      <c r="A72" s="1">
        <v>45853</v>
      </c>
      <c r="B72">
        <v>8</v>
      </c>
      <c r="C72">
        <v>1</v>
      </c>
      <c r="D72">
        <v>50</v>
      </c>
      <c r="E72">
        <v>55</v>
      </c>
      <c r="F72">
        <v>13</v>
      </c>
      <c r="G72">
        <v>45</v>
      </c>
      <c r="H72">
        <v>0</v>
      </c>
      <c r="I72">
        <v>0</v>
      </c>
    </row>
    <row r="73" spans="1:9" x14ac:dyDescent="0.2">
      <c r="A73" s="1">
        <v>45853</v>
      </c>
      <c r="B73">
        <v>10</v>
      </c>
      <c r="C73">
        <v>1</v>
      </c>
      <c r="D73">
        <v>46</v>
      </c>
      <c r="E73">
        <v>56</v>
      </c>
      <c r="F73">
        <v>10</v>
      </c>
      <c r="G73">
        <v>155</v>
      </c>
      <c r="H73">
        <v>95</v>
      </c>
      <c r="I73">
        <v>8</v>
      </c>
    </row>
    <row r="74" spans="1:9" x14ac:dyDescent="0.2">
      <c r="A74" s="1">
        <v>45853</v>
      </c>
      <c r="B74">
        <v>13</v>
      </c>
      <c r="C74">
        <v>1</v>
      </c>
      <c r="D74">
        <v>38</v>
      </c>
      <c r="E74">
        <v>50</v>
      </c>
      <c r="F74">
        <v>10</v>
      </c>
      <c r="G74" t="s">
        <v>37</v>
      </c>
      <c r="H74" t="s">
        <v>37</v>
      </c>
      <c r="I74">
        <v>0</v>
      </c>
    </row>
    <row r="75" spans="1:9" x14ac:dyDescent="0.2">
      <c r="A75" s="1">
        <v>45853</v>
      </c>
      <c r="B75">
        <v>15</v>
      </c>
      <c r="C75">
        <v>1</v>
      </c>
      <c r="D75">
        <v>37</v>
      </c>
      <c r="E75">
        <v>33</v>
      </c>
      <c r="F75">
        <v>5</v>
      </c>
      <c r="G75" t="s">
        <v>37</v>
      </c>
      <c r="H75" t="s">
        <v>37</v>
      </c>
      <c r="I75">
        <v>0</v>
      </c>
    </row>
    <row r="76" spans="1:9" x14ac:dyDescent="0.2">
      <c r="A76" s="1">
        <v>45853</v>
      </c>
      <c r="B76">
        <v>16</v>
      </c>
      <c r="C76">
        <v>1</v>
      </c>
      <c r="D76">
        <v>63</v>
      </c>
      <c r="E76">
        <v>68</v>
      </c>
      <c r="F76">
        <v>9</v>
      </c>
      <c r="G76">
        <v>200</v>
      </c>
      <c r="H76">
        <v>0</v>
      </c>
      <c r="I76">
        <v>2</v>
      </c>
    </row>
    <row r="77" spans="1:9" x14ac:dyDescent="0.2">
      <c r="A77" s="1">
        <v>45853</v>
      </c>
      <c r="B77">
        <v>22</v>
      </c>
      <c r="C77">
        <v>1</v>
      </c>
      <c r="D77">
        <v>38</v>
      </c>
      <c r="E77">
        <v>32</v>
      </c>
      <c r="F77">
        <v>4</v>
      </c>
      <c r="G77" t="s">
        <v>37</v>
      </c>
      <c r="H77" t="s">
        <v>37</v>
      </c>
      <c r="I77">
        <v>0</v>
      </c>
    </row>
    <row r="78" spans="1:9" x14ac:dyDescent="0.2">
      <c r="A78" s="1">
        <v>45853</v>
      </c>
      <c r="B78">
        <v>22</v>
      </c>
      <c r="C78">
        <v>2</v>
      </c>
      <c r="D78">
        <v>55</v>
      </c>
      <c r="E78">
        <v>51</v>
      </c>
      <c r="F78">
        <v>5</v>
      </c>
      <c r="G78">
        <v>149</v>
      </c>
      <c r="H78">
        <v>142</v>
      </c>
      <c r="I78">
        <v>2</v>
      </c>
    </row>
    <row r="79" spans="1:9" x14ac:dyDescent="0.2">
      <c r="A79" s="1">
        <v>45853</v>
      </c>
      <c r="B79">
        <v>32</v>
      </c>
      <c r="C79">
        <v>1</v>
      </c>
      <c r="D79">
        <v>55</v>
      </c>
      <c r="E79">
        <v>58</v>
      </c>
      <c r="F79">
        <v>10</v>
      </c>
      <c r="G79" t="s">
        <v>37</v>
      </c>
      <c r="H79" t="s">
        <v>37</v>
      </c>
      <c r="I79">
        <v>5</v>
      </c>
    </row>
    <row r="80" spans="1:9" x14ac:dyDescent="0.2">
      <c r="A80" s="1">
        <v>45853</v>
      </c>
      <c r="B80">
        <v>33</v>
      </c>
      <c r="C80">
        <v>1</v>
      </c>
      <c r="D80">
        <v>26</v>
      </c>
      <c r="E80">
        <v>24</v>
      </c>
      <c r="F80">
        <v>4</v>
      </c>
      <c r="G80">
        <v>183</v>
      </c>
      <c r="H80">
        <v>152</v>
      </c>
      <c r="I80">
        <v>5</v>
      </c>
    </row>
    <row r="81" spans="1:10" x14ac:dyDescent="0.2">
      <c r="A81" s="1">
        <v>45853</v>
      </c>
      <c r="B81">
        <v>42</v>
      </c>
      <c r="C81">
        <v>1</v>
      </c>
      <c r="D81">
        <v>48</v>
      </c>
      <c r="E81">
        <v>31</v>
      </c>
      <c r="F81">
        <v>8</v>
      </c>
      <c r="G81">
        <v>117</v>
      </c>
      <c r="H81">
        <v>30</v>
      </c>
      <c r="I81">
        <v>0</v>
      </c>
    </row>
    <row r="82" spans="1:10" x14ac:dyDescent="0.2">
      <c r="A82" s="1">
        <v>45856</v>
      </c>
      <c r="B82">
        <v>3</v>
      </c>
      <c r="C82">
        <v>1</v>
      </c>
      <c r="D82">
        <v>94</v>
      </c>
      <c r="E82">
        <v>90</v>
      </c>
      <c r="F82">
        <v>12</v>
      </c>
      <c r="G82" t="s">
        <v>37</v>
      </c>
      <c r="H82" t="s">
        <v>37</v>
      </c>
      <c r="I82">
        <v>0</v>
      </c>
    </row>
    <row r="83" spans="1:10" x14ac:dyDescent="0.2">
      <c r="A83" s="1">
        <v>45856</v>
      </c>
      <c r="B83">
        <v>3</v>
      </c>
      <c r="C83">
        <v>2</v>
      </c>
      <c r="D83">
        <v>104</v>
      </c>
      <c r="E83">
        <v>100</v>
      </c>
      <c r="F83">
        <v>19</v>
      </c>
      <c r="G83">
        <v>0</v>
      </c>
      <c r="H83">
        <v>5</v>
      </c>
      <c r="I83">
        <v>0</v>
      </c>
    </row>
    <row r="84" spans="1:10" x14ac:dyDescent="0.2">
      <c r="A84" s="1">
        <v>45856</v>
      </c>
      <c r="B84">
        <v>3</v>
      </c>
      <c r="C84">
        <v>3</v>
      </c>
      <c r="D84">
        <v>63</v>
      </c>
      <c r="E84">
        <v>66</v>
      </c>
      <c r="F84">
        <v>8</v>
      </c>
      <c r="G84">
        <v>170</v>
      </c>
      <c r="H84">
        <v>129</v>
      </c>
      <c r="I84">
        <v>5</v>
      </c>
    </row>
    <row r="85" spans="1:10" x14ac:dyDescent="0.2">
      <c r="A85" s="1">
        <v>45856</v>
      </c>
      <c r="B85">
        <v>5</v>
      </c>
      <c r="C85">
        <v>1</v>
      </c>
      <c r="D85">
        <v>65</v>
      </c>
      <c r="E85">
        <v>57</v>
      </c>
      <c r="F85">
        <v>11</v>
      </c>
      <c r="G85" t="s">
        <v>37</v>
      </c>
      <c r="H85" t="s">
        <v>37</v>
      </c>
      <c r="I85">
        <v>0</v>
      </c>
    </row>
    <row r="86" spans="1:10" x14ac:dyDescent="0.2">
      <c r="A86" s="1">
        <v>45856</v>
      </c>
      <c r="B86">
        <v>5</v>
      </c>
      <c r="C86">
        <v>2</v>
      </c>
      <c r="D86">
        <v>83</v>
      </c>
      <c r="E86">
        <v>69</v>
      </c>
      <c r="F86">
        <v>7</v>
      </c>
      <c r="G86" t="s">
        <v>37</v>
      </c>
      <c r="H86" t="s">
        <v>37</v>
      </c>
      <c r="I86">
        <v>0</v>
      </c>
      <c r="J86" t="s">
        <v>66</v>
      </c>
    </row>
    <row r="87" spans="1:10" x14ac:dyDescent="0.2">
      <c r="A87" s="1">
        <v>45856</v>
      </c>
      <c r="B87">
        <v>7</v>
      </c>
      <c r="C87">
        <v>1</v>
      </c>
      <c r="D87">
        <v>76</v>
      </c>
      <c r="E87">
        <v>79</v>
      </c>
      <c r="F87">
        <v>14</v>
      </c>
      <c r="G87" t="s">
        <v>37</v>
      </c>
      <c r="H87" t="s">
        <v>37</v>
      </c>
      <c r="I87">
        <v>0</v>
      </c>
    </row>
    <row r="88" spans="1:10" x14ac:dyDescent="0.2">
      <c r="A88" s="1">
        <v>45856</v>
      </c>
      <c r="B88">
        <v>8</v>
      </c>
      <c r="C88">
        <v>1</v>
      </c>
      <c r="D88">
        <v>62</v>
      </c>
      <c r="E88">
        <v>57</v>
      </c>
      <c r="F88">
        <v>10</v>
      </c>
      <c r="G88" t="s">
        <v>37</v>
      </c>
      <c r="H88" t="s">
        <v>37</v>
      </c>
      <c r="I88">
        <v>0</v>
      </c>
    </row>
    <row r="89" spans="1:10" x14ac:dyDescent="0.2">
      <c r="A89" s="1">
        <v>45856</v>
      </c>
      <c r="B89">
        <v>13</v>
      </c>
      <c r="C89">
        <v>1</v>
      </c>
      <c r="D89">
        <v>22</v>
      </c>
      <c r="E89">
        <v>21</v>
      </c>
      <c r="F89">
        <v>3</v>
      </c>
      <c r="G89">
        <v>111</v>
      </c>
      <c r="H89">
        <v>66</v>
      </c>
      <c r="I89">
        <v>0</v>
      </c>
    </row>
    <row r="90" spans="1:10" x14ac:dyDescent="0.2">
      <c r="A90" s="1">
        <v>45856</v>
      </c>
      <c r="B90">
        <v>24</v>
      </c>
      <c r="C90">
        <v>1</v>
      </c>
      <c r="D90">
        <v>57</v>
      </c>
      <c r="E90">
        <v>55</v>
      </c>
      <c r="F90">
        <v>7</v>
      </c>
      <c r="G90">
        <v>10</v>
      </c>
      <c r="H90">
        <v>55</v>
      </c>
      <c r="I90">
        <v>0</v>
      </c>
    </row>
    <row r="91" spans="1:10" x14ac:dyDescent="0.2">
      <c r="A91" s="1">
        <v>45856</v>
      </c>
      <c r="B91">
        <v>26</v>
      </c>
      <c r="C91">
        <v>1</v>
      </c>
      <c r="D91">
        <v>59</v>
      </c>
      <c r="E91">
        <v>52</v>
      </c>
      <c r="F91">
        <v>5</v>
      </c>
      <c r="G91">
        <v>105</v>
      </c>
      <c r="H91">
        <v>49</v>
      </c>
      <c r="I91">
        <v>0</v>
      </c>
    </row>
    <row r="92" spans="1:10" x14ac:dyDescent="0.2">
      <c r="A92" s="1">
        <v>45856</v>
      </c>
      <c r="B92">
        <v>29</v>
      </c>
      <c r="C92">
        <v>1</v>
      </c>
      <c r="D92">
        <v>69</v>
      </c>
      <c r="E92">
        <v>49</v>
      </c>
      <c r="F92">
        <v>4</v>
      </c>
      <c r="G92">
        <v>181</v>
      </c>
      <c r="H92">
        <v>2</v>
      </c>
      <c r="I92">
        <v>10</v>
      </c>
    </row>
    <row r="93" spans="1:10" x14ac:dyDescent="0.2">
      <c r="A93" s="1">
        <v>45856</v>
      </c>
      <c r="B93">
        <v>33</v>
      </c>
      <c r="C93">
        <v>1</v>
      </c>
      <c r="D93">
        <v>42</v>
      </c>
      <c r="E93">
        <v>44</v>
      </c>
      <c r="F93">
        <v>5</v>
      </c>
      <c r="G93">
        <v>39</v>
      </c>
      <c r="H93">
        <v>160</v>
      </c>
      <c r="I93">
        <v>5</v>
      </c>
    </row>
    <row r="94" spans="1:10" x14ac:dyDescent="0.2">
      <c r="A94" s="1">
        <v>45856</v>
      </c>
      <c r="B94">
        <v>36</v>
      </c>
      <c r="C94">
        <v>1</v>
      </c>
      <c r="D94">
        <v>40</v>
      </c>
      <c r="E94">
        <v>41</v>
      </c>
      <c r="F94">
        <v>6</v>
      </c>
      <c r="G94">
        <v>0</v>
      </c>
      <c r="H94">
        <v>79</v>
      </c>
      <c r="I94">
        <v>10</v>
      </c>
    </row>
    <row r="95" spans="1:10" x14ac:dyDescent="0.2">
      <c r="A95" s="1">
        <v>45856</v>
      </c>
      <c r="B95">
        <v>39</v>
      </c>
      <c r="C95">
        <v>1</v>
      </c>
      <c r="D95">
        <v>60</v>
      </c>
      <c r="E95">
        <v>44</v>
      </c>
      <c r="F95">
        <v>5</v>
      </c>
      <c r="G95">
        <v>134</v>
      </c>
      <c r="H95">
        <v>62</v>
      </c>
      <c r="I95">
        <v>5</v>
      </c>
      <c r="J95" t="s">
        <v>67</v>
      </c>
    </row>
    <row r="96" spans="1:10" x14ac:dyDescent="0.2">
      <c r="A96" s="1">
        <v>45856</v>
      </c>
      <c r="B96">
        <v>42</v>
      </c>
      <c r="C96">
        <v>1</v>
      </c>
      <c r="D96">
        <v>59</v>
      </c>
      <c r="E96">
        <v>53</v>
      </c>
      <c r="F96">
        <v>4</v>
      </c>
      <c r="G96">
        <v>135</v>
      </c>
      <c r="H96">
        <v>0</v>
      </c>
      <c r="I96">
        <v>0</v>
      </c>
      <c r="J96" t="s">
        <v>68</v>
      </c>
    </row>
    <row r="97" spans="1:10" x14ac:dyDescent="0.2">
      <c r="A97" s="1">
        <v>45856</v>
      </c>
      <c r="B97">
        <v>44</v>
      </c>
      <c r="C97">
        <v>1</v>
      </c>
      <c r="D97">
        <v>62</v>
      </c>
      <c r="E97">
        <v>60</v>
      </c>
      <c r="F97">
        <v>7</v>
      </c>
      <c r="G97" t="s">
        <v>37</v>
      </c>
      <c r="H97" t="s">
        <v>37</v>
      </c>
      <c r="I97">
        <v>0</v>
      </c>
      <c r="J97" t="s">
        <v>69</v>
      </c>
    </row>
    <row r="98" spans="1:10" x14ac:dyDescent="0.2">
      <c r="A98" s="1">
        <v>45856</v>
      </c>
      <c r="B98">
        <v>44</v>
      </c>
      <c r="C98">
        <v>2</v>
      </c>
      <c r="D98">
        <v>61</v>
      </c>
      <c r="E98">
        <v>54</v>
      </c>
      <c r="F98">
        <v>16</v>
      </c>
      <c r="G98" t="s">
        <v>37</v>
      </c>
      <c r="H98" t="s">
        <v>37</v>
      </c>
      <c r="I98">
        <v>10</v>
      </c>
      <c r="J98" t="s">
        <v>69</v>
      </c>
    </row>
    <row r="99" spans="1:10" x14ac:dyDescent="0.2">
      <c r="A99" s="1">
        <v>45856</v>
      </c>
      <c r="B99">
        <v>47</v>
      </c>
      <c r="C99">
        <v>1</v>
      </c>
      <c r="D99">
        <v>36</v>
      </c>
      <c r="E99">
        <v>25</v>
      </c>
      <c r="F99">
        <v>4</v>
      </c>
      <c r="G99">
        <v>23</v>
      </c>
      <c r="H99">
        <v>0</v>
      </c>
      <c r="I99">
        <v>5</v>
      </c>
      <c r="J99" t="s">
        <v>69</v>
      </c>
    </row>
    <row r="100" spans="1:10" x14ac:dyDescent="0.2">
      <c r="A100" s="1">
        <v>45856</v>
      </c>
      <c r="B100">
        <v>48</v>
      </c>
      <c r="C100">
        <v>1</v>
      </c>
      <c r="D100">
        <v>37</v>
      </c>
      <c r="E100">
        <v>30</v>
      </c>
      <c r="F100">
        <v>4</v>
      </c>
      <c r="G100">
        <v>91</v>
      </c>
      <c r="H100">
        <v>70</v>
      </c>
      <c r="I100">
        <v>10</v>
      </c>
      <c r="J100" t="s">
        <v>70</v>
      </c>
    </row>
    <row r="101" spans="1:10" x14ac:dyDescent="0.2">
      <c r="A101" s="1">
        <v>45856</v>
      </c>
      <c r="B101">
        <v>58</v>
      </c>
      <c r="C101">
        <v>1</v>
      </c>
      <c r="D101">
        <v>27</v>
      </c>
      <c r="E101">
        <v>28</v>
      </c>
      <c r="F101">
        <v>3</v>
      </c>
      <c r="G101">
        <v>156</v>
      </c>
      <c r="H101">
        <v>43</v>
      </c>
      <c r="I101">
        <v>20</v>
      </c>
      <c r="J101" t="s">
        <v>69</v>
      </c>
    </row>
    <row r="102" spans="1:10" x14ac:dyDescent="0.2">
      <c r="A102" s="1">
        <v>45856</v>
      </c>
      <c r="B102">
        <v>58</v>
      </c>
      <c r="C102">
        <v>2</v>
      </c>
      <c r="D102">
        <v>38</v>
      </c>
      <c r="E102">
        <v>34</v>
      </c>
      <c r="F102">
        <v>4</v>
      </c>
      <c r="G102">
        <v>88</v>
      </c>
      <c r="H102">
        <v>39</v>
      </c>
      <c r="I102">
        <v>10</v>
      </c>
    </row>
    <row r="103" spans="1:10" x14ac:dyDescent="0.2">
      <c r="A103" s="1">
        <v>45857</v>
      </c>
      <c r="B103">
        <v>3</v>
      </c>
      <c r="C103">
        <v>1</v>
      </c>
      <c r="D103">
        <v>67</v>
      </c>
      <c r="E103">
        <v>81</v>
      </c>
      <c r="F103">
        <v>8</v>
      </c>
      <c r="G103">
        <v>167</v>
      </c>
      <c r="H103">
        <v>106</v>
      </c>
      <c r="I103">
        <v>5</v>
      </c>
    </row>
    <row r="104" spans="1:10" x14ac:dyDescent="0.2">
      <c r="A104" s="1">
        <v>45857</v>
      </c>
      <c r="B104">
        <v>3</v>
      </c>
      <c r="C104">
        <v>2</v>
      </c>
      <c r="D104">
        <v>62</v>
      </c>
      <c r="E104">
        <v>67</v>
      </c>
      <c r="F104">
        <v>10</v>
      </c>
      <c r="G104" t="s">
        <v>37</v>
      </c>
      <c r="H104" t="s">
        <v>37</v>
      </c>
      <c r="I104">
        <v>0</v>
      </c>
    </row>
    <row r="105" spans="1:10" x14ac:dyDescent="0.2">
      <c r="A105" s="1">
        <v>45857</v>
      </c>
      <c r="B105">
        <v>3</v>
      </c>
      <c r="C105">
        <v>3</v>
      </c>
      <c r="D105">
        <v>106</v>
      </c>
      <c r="E105">
        <v>94</v>
      </c>
      <c r="F105">
        <v>13</v>
      </c>
      <c r="G105" t="s">
        <v>37</v>
      </c>
      <c r="H105" t="s">
        <v>37</v>
      </c>
      <c r="I105">
        <v>0</v>
      </c>
    </row>
    <row r="106" spans="1:10" x14ac:dyDescent="0.2">
      <c r="A106" s="1">
        <v>45857</v>
      </c>
      <c r="B106">
        <v>3</v>
      </c>
      <c r="C106">
        <v>4</v>
      </c>
      <c r="D106">
        <v>106</v>
      </c>
      <c r="E106">
        <v>101</v>
      </c>
      <c r="F106">
        <v>17</v>
      </c>
      <c r="G106">
        <v>6</v>
      </c>
      <c r="H106">
        <v>0</v>
      </c>
      <c r="I106">
        <v>0</v>
      </c>
    </row>
    <row r="107" spans="1:10" x14ac:dyDescent="0.2">
      <c r="A107" s="1">
        <v>45857</v>
      </c>
      <c r="B107">
        <v>7</v>
      </c>
      <c r="C107">
        <v>1</v>
      </c>
      <c r="D107">
        <v>72</v>
      </c>
      <c r="E107">
        <v>77</v>
      </c>
      <c r="F107">
        <v>13</v>
      </c>
      <c r="G107" t="s">
        <v>37</v>
      </c>
      <c r="H107" t="s">
        <v>37</v>
      </c>
      <c r="I107">
        <v>0</v>
      </c>
    </row>
    <row r="108" spans="1:10" x14ac:dyDescent="0.2">
      <c r="A108" s="1">
        <v>45857</v>
      </c>
      <c r="B108">
        <v>8</v>
      </c>
      <c r="C108">
        <v>1</v>
      </c>
      <c r="D108">
        <v>61</v>
      </c>
      <c r="E108">
        <v>52</v>
      </c>
      <c r="F108">
        <v>10</v>
      </c>
      <c r="G108" t="s">
        <v>37</v>
      </c>
      <c r="H108" t="s">
        <v>37</v>
      </c>
      <c r="I108">
        <v>0</v>
      </c>
    </row>
    <row r="109" spans="1:10" x14ac:dyDescent="0.2">
      <c r="A109" s="1">
        <v>45857</v>
      </c>
      <c r="B109">
        <v>10</v>
      </c>
      <c r="C109">
        <v>1</v>
      </c>
      <c r="D109">
        <v>32</v>
      </c>
      <c r="E109">
        <v>38</v>
      </c>
      <c r="F109">
        <v>3</v>
      </c>
      <c r="G109">
        <v>83</v>
      </c>
      <c r="H109">
        <v>13</v>
      </c>
      <c r="I109">
        <v>0</v>
      </c>
    </row>
    <row r="110" spans="1:10" x14ac:dyDescent="0.2">
      <c r="A110" s="1">
        <v>45857</v>
      </c>
      <c r="B110">
        <v>13</v>
      </c>
      <c r="C110">
        <v>1</v>
      </c>
      <c r="D110">
        <v>25</v>
      </c>
      <c r="E110">
        <v>23</v>
      </c>
      <c r="F110">
        <v>3</v>
      </c>
      <c r="G110">
        <v>114</v>
      </c>
      <c r="H110">
        <v>62</v>
      </c>
      <c r="I110">
        <v>0</v>
      </c>
    </row>
    <row r="111" spans="1:10" x14ac:dyDescent="0.2">
      <c r="A111" s="1">
        <v>45857</v>
      </c>
      <c r="B111">
        <v>16</v>
      </c>
      <c r="C111">
        <v>1</v>
      </c>
      <c r="D111">
        <v>68</v>
      </c>
      <c r="E111">
        <v>67</v>
      </c>
      <c r="F111">
        <v>6</v>
      </c>
      <c r="G111">
        <v>200</v>
      </c>
      <c r="H111">
        <v>40</v>
      </c>
      <c r="I111">
        <v>0</v>
      </c>
    </row>
    <row r="112" spans="1:10" x14ac:dyDescent="0.2">
      <c r="A112" s="1">
        <v>45857</v>
      </c>
      <c r="B112">
        <v>17</v>
      </c>
      <c r="C112">
        <v>1</v>
      </c>
      <c r="D112">
        <v>68</v>
      </c>
      <c r="E112">
        <v>66</v>
      </c>
      <c r="F112">
        <v>6</v>
      </c>
      <c r="G112">
        <v>37</v>
      </c>
      <c r="H112">
        <v>84</v>
      </c>
      <c r="I112">
        <v>10</v>
      </c>
    </row>
    <row r="113" spans="1:10" x14ac:dyDescent="0.2">
      <c r="A113" s="1">
        <v>45857</v>
      </c>
      <c r="B113">
        <v>22</v>
      </c>
      <c r="C113">
        <v>1</v>
      </c>
      <c r="D113">
        <v>45</v>
      </c>
      <c r="E113">
        <v>62</v>
      </c>
      <c r="F113">
        <v>5</v>
      </c>
      <c r="G113">
        <v>56</v>
      </c>
      <c r="H113">
        <v>2</v>
      </c>
      <c r="I113">
        <v>0</v>
      </c>
    </row>
    <row r="114" spans="1:10" x14ac:dyDescent="0.2">
      <c r="A114" s="1">
        <v>45857</v>
      </c>
      <c r="B114">
        <v>24</v>
      </c>
      <c r="C114">
        <v>1</v>
      </c>
      <c r="D114">
        <v>56</v>
      </c>
      <c r="E114">
        <v>59</v>
      </c>
      <c r="F114">
        <v>7</v>
      </c>
      <c r="G114">
        <v>10</v>
      </c>
      <c r="H114">
        <v>60</v>
      </c>
      <c r="I114">
        <v>0</v>
      </c>
    </row>
    <row r="115" spans="1:10" x14ac:dyDescent="0.2">
      <c r="A115" s="1">
        <v>45857</v>
      </c>
      <c r="B115">
        <v>24</v>
      </c>
      <c r="C115">
        <v>2</v>
      </c>
      <c r="D115">
        <v>26</v>
      </c>
      <c r="E115">
        <v>22</v>
      </c>
      <c r="F115">
        <v>5</v>
      </c>
      <c r="G115">
        <v>130</v>
      </c>
      <c r="H115">
        <v>47</v>
      </c>
      <c r="I115">
        <v>0</v>
      </c>
    </row>
    <row r="116" spans="1:10" x14ac:dyDescent="0.2">
      <c r="A116" s="1">
        <v>45857</v>
      </c>
      <c r="B116">
        <v>26</v>
      </c>
      <c r="C116">
        <v>1</v>
      </c>
      <c r="D116">
        <v>55</v>
      </c>
      <c r="E116">
        <v>51</v>
      </c>
      <c r="F116">
        <v>5</v>
      </c>
      <c r="G116">
        <v>110</v>
      </c>
      <c r="H116">
        <v>71</v>
      </c>
      <c r="I116">
        <v>0</v>
      </c>
    </row>
    <row r="117" spans="1:10" x14ac:dyDescent="0.2">
      <c r="A117" s="1">
        <v>45857</v>
      </c>
      <c r="B117">
        <v>29</v>
      </c>
      <c r="C117">
        <v>1</v>
      </c>
      <c r="D117">
        <v>67</v>
      </c>
      <c r="E117">
        <v>47</v>
      </c>
      <c r="F117">
        <v>5</v>
      </c>
      <c r="G117">
        <v>160</v>
      </c>
      <c r="H117">
        <v>40</v>
      </c>
      <c r="I117">
        <v>10</v>
      </c>
    </row>
    <row r="118" spans="1:10" x14ac:dyDescent="0.2">
      <c r="A118" s="1">
        <v>45857</v>
      </c>
      <c r="B118">
        <v>32</v>
      </c>
      <c r="C118">
        <v>1</v>
      </c>
      <c r="D118">
        <v>82</v>
      </c>
      <c r="E118">
        <v>61</v>
      </c>
      <c r="F118">
        <v>6</v>
      </c>
      <c r="G118">
        <v>48</v>
      </c>
      <c r="H118">
        <v>75</v>
      </c>
      <c r="I118">
        <v>5</v>
      </c>
    </row>
    <row r="119" spans="1:10" x14ac:dyDescent="0.2">
      <c r="A119" s="1">
        <v>45857</v>
      </c>
      <c r="B119">
        <v>33</v>
      </c>
      <c r="C119">
        <v>1</v>
      </c>
      <c r="D119">
        <v>53</v>
      </c>
      <c r="E119">
        <v>41</v>
      </c>
      <c r="F119">
        <v>4</v>
      </c>
      <c r="G119">
        <v>51</v>
      </c>
      <c r="H119">
        <v>140</v>
      </c>
      <c r="I119">
        <v>5</v>
      </c>
    </row>
    <row r="120" spans="1:10" x14ac:dyDescent="0.2">
      <c r="A120" s="1">
        <v>45857</v>
      </c>
      <c r="B120">
        <v>39</v>
      </c>
      <c r="C120">
        <v>1</v>
      </c>
      <c r="D120">
        <v>42</v>
      </c>
      <c r="E120">
        <v>41</v>
      </c>
      <c r="F120">
        <v>6</v>
      </c>
      <c r="G120">
        <v>145</v>
      </c>
      <c r="H120">
        <v>81</v>
      </c>
      <c r="I120">
        <v>5</v>
      </c>
      <c r="J120" t="s">
        <v>69</v>
      </c>
    </row>
    <row r="121" spans="1:10" x14ac:dyDescent="0.2">
      <c r="A121" s="1">
        <v>45857</v>
      </c>
      <c r="B121">
        <v>42</v>
      </c>
      <c r="C121">
        <v>1</v>
      </c>
      <c r="D121">
        <v>18</v>
      </c>
      <c r="E121">
        <v>26</v>
      </c>
      <c r="F121">
        <v>7</v>
      </c>
      <c r="G121">
        <v>85</v>
      </c>
      <c r="H121">
        <v>45</v>
      </c>
      <c r="I121">
        <v>0</v>
      </c>
    </row>
    <row r="122" spans="1:10" x14ac:dyDescent="0.2">
      <c r="A122" s="1">
        <v>45857</v>
      </c>
      <c r="B122">
        <v>51</v>
      </c>
      <c r="C122">
        <v>1</v>
      </c>
      <c r="D122">
        <v>45</v>
      </c>
      <c r="E122">
        <v>47</v>
      </c>
      <c r="F122">
        <v>5</v>
      </c>
      <c r="G122">
        <v>155</v>
      </c>
      <c r="H122">
        <v>42</v>
      </c>
      <c r="I122">
        <v>10</v>
      </c>
      <c r="J122" t="s">
        <v>69</v>
      </c>
    </row>
    <row r="123" spans="1:10" x14ac:dyDescent="0.2">
      <c r="A123" s="1">
        <v>45857</v>
      </c>
      <c r="B123">
        <v>55</v>
      </c>
      <c r="C123">
        <v>1</v>
      </c>
      <c r="D123">
        <v>39</v>
      </c>
      <c r="E123">
        <v>25</v>
      </c>
      <c r="F123">
        <v>6</v>
      </c>
      <c r="G123">
        <v>48</v>
      </c>
      <c r="H123">
        <v>3</v>
      </c>
      <c r="I123">
        <v>10</v>
      </c>
    </row>
    <row r="124" spans="1:10" x14ac:dyDescent="0.2">
      <c r="A124" s="1">
        <v>45857</v>
      </c>
      <c r="B124">
        <v>55</v>
      </c>
      <c r="C124">
        <v>2</v>
      </c>
      <c r="D124">
        <v>32</v>
      </c>
      <c r="E124">
        <v>29</v>
      </c>
      <c r="F124">
        <v>4</v>
      </c>
      <c r="G124">
        <v>84</v>
      </c>
      <c r="H124">
        <v>50</v>
      </c>
      <c r="I124">
        <v>10</v>
      </c>
    </row>
    <row r="125" spans="1:10" x14ac:dyDescent="0.2">
      <c r="A125" s="1">
        <v>45857</v>
      </c>
      <c r="B125">
        <v>59</v>
      </c>
      <c r="C125">
        <v>1</v>
      </c>
      <c r="D125">
        <v>34</v>
      </c>
      <c r="E125">
        <v>40</v>
      </c>
      <c r="F125">
        <v>4</v>
      </c>
      <c r="G125">
        <v>113</v>
      </c>
      <c r="H125">
        <v>95</v>
      </c>
      <c r="I125">
        <v>40</v>
      </c>
    </row>
    <row r="126" spans="1:10" x14ac:dyDescent="0.2">
      <c r="A126" s="1">
        <v>45857</v>
      </c>
      <c r="B126">
        <v>59</v>
      </c>
      <c r="C126">
        <v>2</v>
      </c>
      <c r="D126">
        <v>32</v>
      </c>
      <c r="E126">
        <v>30</v>
      </c>
      <c r="F126">
        <v>5</v>
      </c>
      <c r="G126">
        <v>56</v>
      </c>
      <c r="H126">
        <v>42</v>
      </c>
      <c r="I126">
        <v>30</v>
      </c>
      <c r="J126" t="s">
        <v>92</v>
      </c>
    </row>
    <row r="127" spans="1:10" x14ac:dyDescent="0.2">
      <c r="A127" s="1">
        <v>45858</v>
      </c>
      <c r="B127">
        <v>3</v>
      </c>
      <c r="C127">
        <v>1</v>
      </c>
      <c r="D127">
        <v>101</v>
      </c>
      <c r="E127">
        <v>97</v>
      </c>
      <c r="F127">
        <v>13</v>
      </c>
      <c r="G127" t="s">
        <v>37</v>
      </c>
      <c r="H127" t="s">
        <v>37</v>
      </c>
      <c r="I127">
        <v>0</v>
      </c>
      <c r="J127" t="s">
        <v>93</v>
      </c>
    </row>
    <row r="128" spans="1:10" x14ac:dyDescent="0.2">
      <c r="A128" s="1">
        <v>45858</v>
      </c>
      <c r="B128">
        <v>3</v>
      </c>
      <c r="C128">
        <v>2</v>
      </c>
      <c r="D128">
        <v>75</v>
      </c>
      <c r="E128">
        <v>60</v>
      </c>
      <c r="F128">
        <v>10</v>
      </c>
      <c r="G128" t="s">
        <v>37</v>
      </c>
      <c r="H128" t="s">
        <v>37</v>
      </c>
      <c r="I128">
        <v>0</v>
      </c>
    </row>
    <row r="129" spans="1:10" x14ac:dyDescent="0.2">
      <c r="A129" s="1">
        <v>45858</v>
      </c>
      <c r="B129">
        <v>3</v>
      </c>
      <c r="C129">
        <v>3</v>
      </c>
      <c r="D129">
        <v>53</v>
      </c>
      <c r="E129">
        <v>63</v>
      </c>
      <c r="F129">
        <v>7</v>
      </c>
      <c r="G129">
        <v>165</v>
      </c>
      <c r="H129">
        <v>117</v>
      </c>
      <c r="I129">
        <v>10</v>
      </c>
      <c r="J129" t="s">
        <v>94</v>
      </c>
    </row>
    <row r="130" spans="1:10" x14ac:dyDescent="0.2">
      <c r="A130" s="1">
        <v>45858</v>
      </c>
      <c r="B130">
        <v>3</v>
      </c>
      <c r="C130">
        <v>4</v>
      </c>
      <c r="D130">
        <v>111</v>
      </c>
      <c r="E130">
        <v>105</v>
      </c>
      <c r="F130">
        <v>18</v>
      </c>
      <c r="G130">
        <v>5</v>
      </c>
      <c r="H130">
        <v>0</v>
      </c>
      <c r="I130">
        <v>0</v>
      </c>
    </row>
    <row r="131" spans="1:10" x14ac:dyDescent="0.2">
      <c r="A131" s="1">
        <v>45858</v>
      </c>
      <c r="B131">
        <v>7</v>
      </c>
      <c r="C131">
        <v>1</v>
      </c>
      <c r="D131">
        <v>84</v>
      </c>
      <c r="E131">
        <v>81</v>
      </c>
      <c r="F131">
        <v>14</v>
      </c>
      <c r="G131" t="s">
        <v>37</v>
      </c>
      <c r="H131" t="s">
        <v>37</v>
      </c>
      <c r="I131">
        <v>0</v>
      </c>
    </row>
    <row r="132" spans="1:10" x14ac:dyDescent="0.2">
      <c r="A132" s="1">
        <v>45858</v>
      </c>
      <c r="B132">
        <v>8</v>
      </c>
      <c r="C132">
        <v>1</v>
      </c>
      <c r="D132">
        <v>67</v>
      </c>
      <c r="E132">
        <v>56</v>
      </c>
      <c r="F132">
        <v>10</v>
      </c>
      <c r="G132">
        <v>75</v>
      </c>
      <c r="H132">
        <v>0</v>
      </c>
      <c r="I132">
        <v>0</v>
      </c>
    </row>
    <row r="133" spans="1:10" x14ac:dyDescent="0.2">
      <c r="A133" s="1">
        <v>45858</v>
      </c>
      <c r="B133">
        <v>13</v>
      </c>
      <c r="C133">
        <v>1</v>
      </c>
      <c r="D133">
        <v>69</v>
      </c>
      <c r="E133">
        <v>60</v>
      </c>
      <c r="F133">
        <v>7</v>
      </c>
      <c r="G133">
        <v>18</v>
      </c>
      <c r="H133">
        <v>86</v>
      </c>
      <c r="I133">
        <v>10</v>
      </c>
    </row>
    <row r="134" spans="1:10" x14ac:dyDescent="0.2">
      <c r="A134" s="1">
        <v>45858</v>
      </c>
      <c r="B134">
        <v>17</v>
      </c>
      <c r="C134">
        <v>1</v>
      </c>
      <c r="D134">
        <v>75</v>
      </c>
      <c r="E134">
        <v>80</v>
      </c>
      <c r="F134">
        <v>6</v>
      </c>
      <c r="G134">
        <v>28</v>
      </c>
      <c r="H134">
        <v>70</v>
      </c>
      <c r="I134">
        <v>20</v>
      </c>
      <c r="J134" t="s">
        <v>95</v>
      </c>
    </row>
    <row r="135" spans="1:10" x14ac:dyDescent="0.2">
      <c r="A135" s="1">
        <v>45858</v>
      </c>
      <c r="B135">
        <v>24</v>
      </c>
      <c r="C135">
        <v>1</v>
      </c>
      <c r="D135">
        <v>57</v>
      </c>
      <c r="E135">
        <v>57</v>
      </c>
      <c r="F135">
        <v>7</v>
      </c>
      <c r="G135">
        <v>10</v>
      </c>
      <c r="H135">
        <v>51</v>
      </c>
      <c r="I135">
        <v>0</v>
      </c>
    </row>
    <row r="136" spans="1:10" x14ac:dyDescent="0.2">
      <c r="A136" s="1">
        <v>45858</v>
      </c>
      <c r="B136">
        <v>26</v>
      </c>
      <c r="C136">
        <v>1</v>
      </c>
      <c r="D136">
        <v>60</v>
      </c>
      <c r="E136">
        <v>53</v>
      </c>
      <c r="F136">
        <v>6</v>
      </c>
      <c r="G136">
        <v>114</v>
      </c>
      <c r="H136">
        <v>47</v>
      </c>
      <c r="I136">
        <v>0</v>
      </c>
    </row>
    <row r="137" spans="1:10" x14ac:dyDescent="0.2">
      <c r="A137" s="1">
        <v>45858</v>
      </c>
      <c r="B137">
        <v>26</v>
      </c>
      <c r="C137">
        <v>2</v>
      </c>
      <c r="D137">
        <v>51</v>
      </c>
      <c r="E137">
        <v>51</v>
      </c>
      <c r="F137">
        <v>6</v>
      </c>
      <c r="G137">
        <v>26</v>
      </c>
      <c r="H137">
        <v>20</v>
      </c>
      <c r="I137">
        <v>5</v>
      </c>
    </row>
    <row r="138" spans="1:10" x14ac:dyDescent="0.2">
      <c r="A138" s="1">
        <v>45858</v>
      </c>
      <c r="B138">
        <v>32</v>
      </c>
      <c r="C138">
        <v>1</v>
      </c>
      <c r="D138">
        <v>71</v>
      </c>
      <c r="E138">
        <v>62</v>
      </c>
      <c r="F138">
        <v>7</v>
      </c>
      <c r="G138">
        <v>47</v>
      </c>
      <c r="H138">
        <v>78</v>
      </c>
      <c r="I138">
        <v>5</v>
      </c>
    </row>
    <row r="139" spans="1:10" x14ac:dyDescent="0.2">
      <c r="A139" s="1">
        <v>45858</v>
      </c>
      <c r="B139">
        <v>42</v>
      </c>
      <c r="C139">
        <v>1</v>
      </c>
      <c r="D139">
        <v>29</v>
      </c>
      <c r="E139">
        <v>29</v>
      </c>
      <c r="F139">
        <v>3</v>
      </c>
      <c r="G139">
        <v>91</v>
      </c>
      <c r="H139">
        <v>45</v>
      </c>
      <c r="I139">
        <v>0</v>
      </c>
    </row>
    <row r="140" spans="1:10" x14ac:dyDescent="0.2">
      <c r="A140" s="1">
        <v>45858</v>
      </c>
      <c r="B140">
        <v>45</v>
      </c>
      <c r="C140">
        <v>1</v>
      </c>
      <c r="D140">
        <v>33</v>
      </c>
      <c r="E140">
        <v>40</v>
      </c>
      <c r="F140">
        <v>4</v>
      </c>
      <c r="G140">
        <v>50</v>
      </c>
      <c r="H140">
        <v>64</v>
      </c>
      <c r="I140">
        <v>10</v>
      </c>
    </row>
    <row r="141" spans="1:10" x14ac:dyDescent="0.2">
      <c r="A141" s="1">
        <v>45858</v>
      </c>
      <c r="B141">
        <v>45</v>
      </c>
      <c r="C141">
        <v>2</v>
      </c>
      <c r="D141">
        <v>35</v>
      </c>
      <c r="E141">
        <v>35</v>
      </c>
      <c r="F141">
        <v>3</v>
      </c>
      <c r="G141">
        <v>150</v>
      </c>
      <c r="H141">
        <v>140</v>
      </c>
      <c r="I141">
        <v>0</v>
      </c>
    </row>
    <row r="142" spans="1:10" x14ac:dyDescent="0.2">
      <c r="A142" s="1">
        <v>45858</v>
      </c>
      <c r="B142">
        <v>51</v>
      </c>
      <c r="C142">
        <v>1</v>
      </c>
      <c r="D142">
        <v>41</v>
      </c>
      <c r="E142">
        <v>51</v>
      </c>
      <c r="F142">
        <v>5</v>
      </c>
      <c r="G142">
        <v>164</v>
      </c>
      <c r="H142">
        <v>32</v>
      </c>
      <c r="I142">
        <v>0</v>
      </c>
      <c r="J142" t="s">
        <v>67</v>
      </c>
    </row>
    <row r="143" spans="1:10" x14ac:dyDescent="0.2">
      <c r="A143" s="1">
        <v>45858</v>
      </c>
      <c r="B143">
        <v>58</v>
      </c>
      <c r="C143">
        <v>1</v>
      </c>
      <c r="D143">
        <v>27</v>
      </c>
      <c r="E143">
        <v>21</v>
      </c>
      <c r="F143">
        <v>6</v>
      </c>
      <c r="G143">
        <v>91</v>
      </c>
      <c r="H143">
        <v>17</v>
      </c>
      <c r="I143">
        <v>20</v>
      </c>
    </row>
    <row r="144" spans="1:10" x14ac:dyDescent="0.2">
      <c r="A144" s="1">
        <v>45858</v>
      </c>
      <c r="B144">
        <v>59</v>
      </c>
      <c r="C144">
        <v>1</v>
      </c>
      <c r="D144">
        <v>37</v>
      </c>
      <c r="E144">
        <v>37</v>
      </c>
      <c r="F144">
        <v>6</v>
      </c>
      <c r="G144">
        <v>106</v>
      </c>
      <c r="H144">
        <v>90</v>
      </c>
      <c r="I144">
        <v>40</v>
      </c>
      <c r="J144" t="s">
        <v>96</v>
      </c>
    </row>
    <row r="145" spans="1:10" x14ac:dyDescent="0.2">
      <c r="A145" s="1">
        <v>45858</v>
      </c>
      <c r="B145">
        <v>64</v>
      </c>
      <c r="C145">
        <v>1</v>
      </c>
      <c r="D145">
        <v>40</v>
      </c>
      <c r="E145">
        <v>32</v>
      </c>
      <c r="F145">
        <v>4</v>
      </c>
      <c r="G145">
        <v>59</v>
      </c>
      <c r="H145">
        <v>47</v>
      </c>
      <c r="I145">
        <v>10</v>
      </c>
    </row>
    <row r="146" spans="1:10" x14ac:dyDescent="0.2">
      <c r="A146" s="1">
        <v>45859</v>
      </c>
      <c r="B146">
        <v>3</v>
      </c>
      <c r="D146">
        <v>109</v>
      </c>
      <c r="E146">
        <v>92</v>
      </c>
      <c r="F146">
        <v>12</v>
      </c>
      <c r="G146" t="s">
        <v>37</v>
      </c>
      <c r="H146" t="s">
        <v>37</v>
      </c>
      <c r="I146">
        <v>0</v>
      </c>
    </row>
    <row r="147" spans="1:10" x14ac:dyDescent="0.2">
      <c r="A147" s="1">
        <v>45859</v>
      </c>
      <c r="B147">
        <v>3</v>
      </c>
      <c r="D147">
        <v>78</v>
      </c>
      <c r="E147">
        <v>60</v>
      </c>
      <c r="F147">
        <v>11</v>
      </c>
      <c r="G147" t="s">
        <v>37</v>
      </c>
      <c r="H147" t="s">
        <v>37</v>
      </c>
      <c r="I147">
        <v>2</v>
      </c>
    </row>
    <row r="148" spans="1:10" x14ac:dyDescent="0.2">
      <c r="A148" s="1">
        <v>45859</v>
      </c>
      <c r="B148">
        <v>3</v>
      </c>
      <c r="D148">
        <v>69</v>
      </c>
      <c r="E148">
        <v>77</v>
      </c>
      <c r="F148">
        <v>7</v>
      </c>
      <c r="G148">
        <v>122</v>
      </c>
      <c r="H148">
        <v>86</v>
      </c>
      <c r="I148">
        <v>10</v>
      </c>
    </row>
    <row r="149" spans="1:10" x14ac:dyDescent="0.2">
      <c r="A149" s="1">
        <v>45859</v>
      </c>
      <c r="B149">
        <v>3</v>
      </c>
      <c r="D149">
        <v>97</v>
      </c>
      <c r="E149">
        <v>121</v>
      </c>
      <c r="F149">
        <v>18</v>
      </c>
      <c r="G149">
        <v>10</v>
      </c>
      <c r="H149">
        <v>0</v>
      </c>
      <c r="I149">
        <v>0</v>
      </c>
    </row>
    <row r="150" spans="1:10" x14ac:dyDescent="0.2">
      <c r="A150" s="1">
        <v>45859</v>
      </c>
      <c r="B150">
        <v>7</v>
      </c>
      <c r="D150">
        <v>43</v>
      </c>
      <c r="E150">
        <v>48</v>
      </c>
      <c r="F150">
        <v>5</v>
      </c>
      <c r="G150" t="s">
        <v>37</v>
      </c>
      <c r="H150" t="s">
        <v>37</v>
      </c>
      <c r="I150">
        <v>0</v>
      </c>
    </row>
    <row r="151" spans="1:10" x14ac:dyDescent="0.2">
      <c r="A151" s="1">
        <v>45859</v>
      </c>
      <c r="B151">
        <v>7</v>
      </c>
      <c r="D151">
        <v>76</v>
      </c>
      <c r="E151">
        <v>80</v>
      </c>
      <c r="F151">
        <v>12</v>
      </c>
      <c r="G151" t="s">
        <v>37</v>
      </c>
      <c r="H151" t="s">
        <v>37</v>
      </c>
      <c r="I151">
        <v>10</v>
      </c>
      <c r="J151" t="s">
        <v>97</v>
      </c>
    </row>
    <row r="152" spans="1:10" x14ac:dyDescent="0.2">
      <c r="A152" s="1">
        <v>45859</v>
      </c>
      <c r="B152">
        <v>8</v>
      </c>
      <c r="D152">
        <v>58</v>
      </c>
      <c r="E152">
        <v>45</v>
      </c>
      <c r="F152">
        <v>10</v>
      </c>
      <c r="G152" t="s">
        <v>37</v>
      </c>
      <c r="H152" t="s">
        <v>37</v>
      </c>
      <c r="I152">
        <v>0</v>
      </c>
    </row>
    <row r="153" spans="1:10" x14ac:dyDescent="0.2">
      <c r="A153" s="1">
        <v>45859</v>
      </c>
      <c r="B153">
        <v>10</v>
      </c>
      <c r="D153">
        <v>23</v>
      </c>
      <c r="E153">
        <v>39</v>
      </c>
      <c r="F153">
        <v>10</v>
      </c>
      <c r="G153" t="s">
        <v>37</v>
      </c>
      <c r="H153" t="s">
        <v>37</v>
      </c>
      <c r="I153">
        <v>2</v>
      </c>
      <c r="J153" t="s">
        <v>98</v>
      </c>
    </row>
    <row r="154" spans="1:10" x14ac:dyDescent="0.2">
      <c r="A154" s="1">
        <v>45859</v>
      </c>
      <c r="B154">
        <v>13</v>
      </c>
      <c r="D154">
        <v>79</v>
      </c>
      <c r="E154">
        <v>61</v>
      </c>
      <c r="F154">
        <v>5</v>
      </c>
      <c r="G154">
        <v>156</v>
      </c>
      <c r="H154">
        <v>83</v>
      </c>
      <c r="I154">
        <v>15</v>
      </c>
    </row>
    <row r="155" spans="1:10" x14ac:dyDescent="0.2">
      <c r="A155" s="1">
        <v>45859</v>
      </c>
      <c r="B155">
        <v>13</v>
      </c>
      <c r="D155">
        <v>77</v>
      </c>
      <c r="E155">
        <v>72</v>
      </c>
      <c r="F155">
        <v>7</v>
      </c>
      <c r="G155">
        <v>0</v>
      </c>
      <c r="H155">
        <v>88</v>
      </c>
      <c r="I155">
        <v>0</v>
      </c>
    </row>
    <row r="156" spans="1:10" x14ac:dyDescent="0.2">
      <c r="A156" s="1">
        <v>45859</v>
      </c>
      <c r="B156">
        <v>15</v>
      </c>
      <c r="D156">
        <v>49</v>
      </c>
      <c r="E156">
        <v>55</v>
      </c>
      <c r="F156">
        <v>6</v>
      </c>
      <c r="G156" t="s">
        <v>37</v>
      </c>
      <c r="H156" t="s">
        <v>37</v>
      </c>
      <c r="I156">
        <v>10</v>
      </c>
    </row>
    <row r="157" spans="1:10" x14ac:dyDescent="0.2">
      <c r="A157" s="1">
        <v>45859</v>
      </c>
      <c r="B157">
        <v>16</v>
      </c>
      <c r="D157">
        <v>102</v>
      </c>
      <c r="E157">
        <v>105</v>
      </c>
      <c r="F157">
        <v>6</v>
      </c>
      <c r="G157">
        <v>200</v>
      </c>
      <c r="H157">
        <v>26</v>
      </c>
      <c r="I157">
        <v>0</v>
      </c>
    </row>
    <row r="158" spans="1:10" x14ac:dyDescent="0.2">
      <c r="A158" s="1">
        <v>45859</v>
      </c>
      <c r="B158">
        <v>16</v>
      </c>
      <c r="D158">
        <v>43</v>
      </c>
      <c r="E158">
        <v>45</v>
      </c>
      <c r="F158">
        <v>2</v>
      </c>
      <c r="G158">
        <v>25</v>
      </c>
      <c r="H158">
        <v>20</v>
      </c>
      <c r="I158">
        <v>0</v>
      </c>
    </row>
    <row r="159" spans="1:10" x14ac:dyDescent="0.2">
      <c r="A159" s="1">
        <v>45859</v>
      </c>
      <c r="B159">
        <v>17</v>
      </c>
      <c r="D159">
        <v>69</v>
      </c>
      <c r="E159">
        <v>77</v>
      </c>
      <c r="F159">
        <v>6</v>
      </c>
      <c r="G159">
        <v>36</v>
      </c>
      <c r="H159">
        <v>75</v>
      </c>
      <c r="I159">
        <v>15</v>
      </c>
    </row>
    <row r="160" spans="1:10" x14ac:dyDescent="0.2">
      <c r="A160" s="1">
        <v>45859</v>
      </c>
      <c r="B160">
        <v>22</v>
      </c>
      <c r="D160">
        <v>64</v>
      </c>
      <c r="E160">
        <v>55</v>
      </c>
      <c r="F160">
        <v>4</v>
      </c>
      <c r="G160" t="s">
        <v>37</v>
      </c>
      <c r="H160" t="s">
        <v>37</v>
      </c>
      <c r="I160">
        <v>0</v>
      </c>
    </row>
    <row r="161" spans="1:10" x14ac:dyDescent="0.2">
      <c r="A161" s="1">
        <v>45859</v>
      </c>
      <c r="B161">
        <v>22</v>
      </c>
      <c r="D161">
        <v>36</v>
      </c>
      <c r="E161">
        <v>48</v>
      </c>
      <c r="F161">
        <v>4</v>
      </c>
      <c r="G161">
        <v>53</v>
      </c>
      <c r="H161">
        <v>93</v>
      </c>
      <c r="I161">
        <v>20</v>
      </c>
      <c r="J161" t="s">
        <v>99</v>
      </c>
    </row>
    <row r="162" spans="1:10" x14ac:dyDescent="0.2">
      <c r="A162" s="1">
        <v>45859</v>
      </c>
      <c r="B162">
        <v>24</v>
      </c>
      <c r="D162">
        <v>58</v>
      </c>
      <c r="E162">
        <v>55</v>
      </c>
      <c r="F162">
        <v>6</v>
      </c>
      <c r="G162">
        <v>9</v>
      </c>
      <c r="H162">
        <v>52</v>
      </c>
      <c r="I162">
        <v>0</v>
      </c>
    </row>
    <row r="163" spans="1:10" x14ac:dyDescent="0.2">
      <c r="A163" s="1">
        <v>45859</v>
      </c>
      <c r="B163">
        <v>24</v>
      </c>
      <c r="D163">
        <v>23</v>
      </c>
      <c r="E163">
        <v>22</v>
      </c>
      <c r="F163">
        <v>4</v>
      </c>
      <c r="G163">
        <v>139</v>
      </c>
      <c r="H163">
        <v>49</v>
      </c>
      <c r="I163">
        <v>0</v>
      </c>
    </row>
    <row r="164" spans="1:10" x14ac:dyDescent="0.2">
      <c r="A164" s="1">
        <v>45859</v>
      </c>
      <c r="B164">
        <v>24</v>
      </c>
      <c r="D164">
        <v>33</v>
      </c>
      <c r="E164">
        <v>35</v>
      </c>
      <c r="F164">
        <v>3</v>
      </c>
      <c r="G164">
        <v>137</v>
      </c>
      <c r="H164">
        <v>99</v>
      </c>
      <c r="I164">
        <v>5</v>
      </c>
    </row>
    <row r="165" spans="1:10" x14ac:dyDescent="0.2">
      <c r="A165" s="1">
        <v>45859</v>
      </c>
      <c r="B165">
        <v>24</v>
      </c>
      <c r="D165">
        <v>37</v>
      </c>
      <c r="E165">
        <v>32</v>
      </c>
      <c r="F165">
        <v>7</v>
      </c>
      <c r="G165">
        <v>196</v>
      </c>
      <c r="H165">
        <v>64</v>
      </c>
      <c r="I165">
        <v>0</v>
      </c>
    </row>
    <row r="166" spans="1:10" x14ac:dyDescent="0.2">
      <c r="A166" s="1">
        <v>45859</v>
      </c>
      <c r="B166">
        <v>26</v>
      </c>
      <c r="D166">
        <v>67</v>
      </c>
      <c r="E166">
        <v>67</v>
      </c>
      <c r="F166">
        <v>5</v>
      </c>
      <c r="G166">
        <v>27</v>
      </c>
      <c r="H166">
        <v>3</v>
      </c>
      <c r="I166">
        <v>0</v>
      </c>
      <c r="J166" t="s">
        <v>99</v>
      </c>
    </row>
    <row r="167" spans="1:10" x14ac:dyDescent="0.2">
      <c r="A167" s="1">
        <v>45859</v>
      </c>
      <c r="B167">
        <v>26</v>
      </c>
      <c r="D167">
        <v>55</v>
      </c>
      <c r="E167">
        <v>55</v>
      </c>
      <c r="F167">
        <v>4</v>
      </c>
      <c r="G167">
        <v>116</v>
      </c>
      <c r="H167">
        <v>59</v>
      </c>
      <c r="I167">
        <v>0</v>
      </c>
    </row>
    <row r="168" spans="1:10" x14ac:dyDescent="0.2">
      <c r="A168" s="1">
        <v>45859</v>
      </c>
      <c r="B168">
        <v>26</v>
      </c>
      <c r="D168">
        <v>37</v>
      </c>
      <c r="E168">
        <v>41</v>
      </c>
      <c r="F168">
        <v>5</v>
      </c>
      <c r="G168">
        <v>92</v>
      </c>
      <c r="H168">
        <v>77</v>
      </c>
      <c r="I168">
        <v>0</v>
      </c>
    </row>
    <row r="169" spans="1:10" x14ac:dyDescent="0.2">
      <c r="A169" s="1">
        <v>45859</v>
      </c>
      <c r="B169">
        <v>28</v>
      </c>
      <c r="D169">
        <v>26</v>
      </c>
      <c r="E169">
        <v>22</v>
      </c>
      <c r="F169">
        <v>6</v>
      </c>
      <c r="G169">
        <v>78</v>
      </c>
      <c r="H169">
        <v>41</v>
      </c>
      <c r="I169">
        <v>5</v>
      </c>
      <c r="J169" t="s">
        <v>98</v>
      </c>
    </row>
    <row r="170" spans="1:10" x14ac:dyDescent="0.2">
      <c r="A170" s="1">
        <v>45859</v>
      </c>
      <c r="B170">
        <v>32</v>
      </c>
      <c r="D170">
        <v>75</v>
      </c>
      <c r="E170">
        <v>65</v>
      </c>
      <c r="F170">
        <v>6</v>
      </c>
      <c r="G170">
        <v>60</v>
      </c>
      <c r="H170">
        <v>72</v>
      </c>
      <c r="I170">
        <v>5</v>
      </c>
    </row>
    <row r="171" spans="1:10" x14ac:dyDescent="0.2">
      <c r="A171" s="1">
        <v>45859</v>
      </c>
      <c r="B171">
        <v>33</v>
      </c>
      <c r="D171">
        <v>45</v>
      </c>
      <c r="E171">
        <v>47</v>
      </c>
      <c r="F171">
        <v>4</v>
      </c>
      <c r="G171">
        <v>42</v>
      </c>
      <c r="H171">
        <v>138</v>
      </c>
      <c r="I171">
        <v>5</v>
      </c>
    </row>
    <row r="172" spans="1:10" x14ac:dyDescent="0.2">
      <c r="A172" s="1">
        <v>45859</v>
      </c>
      <c r="B172">
        <v>39</v>
      </c>
      <c r="D172">
        <v>38</v>
      </c>
      <c r="E172">
        <v>36</v>
      </c>
      <c r="F172">
        <v>4</v>
      </c>
      <c r="G172">
        <v>155</v>
      </c>
      <c r="H172">
        <v>69</v>
      </c>
      <c r="I172">
        <v>0</v>
      </c>
      <c r="J172" t="s">
        <v>69</v>
      </c>
    </row>
    <row r="173" spans="1:10" x14ac:dyDescent="0.2">
      <c r="A173" s="1">
        <v>45859</v>
      </c>
      <c r="B173">
        <v>51</v>
      </c>
      <c r="D173">
        <v>46</v>
      </c>
      <c r="E173">
        <v>55</v>
      </c>
      <c r="F173">
        <v>3</v>
      </c>
      <c r="G173">
        <v>193</v>
      </c>
      <c r="H173">
        <v>43</v>
      </c>
      <c r="I173">
        <v>0</v>
      </c>
      <c r="J173" t="s">
        <v>69</v>
      </c>
    </row>
    <row r="174" spans="1:10" x14ac:dyDescent="0.2">
      <c r="A174" s="1">
        <v>45859</v>
      </c>
      <c r="B174">
        <v>55</v>
      </c>
      <c r="D174">
        <v>34</v>
      </c>
      <c r="E174">
        <v>29</v>
      </c>
      <c r="F174">
        <v>2</v>
      </c>
      <c r="G174">
        <v>90</v>
      </c>
      <c r="H174">
        <v>35</v>
      </c>
      <c r="I174">
        <v>10</v>
      </c>
    </row>
    <row r="175" spans="1:10" x14ac:dyDescent="0.2">
      <c r="A175" s="1">
        <v>45859</v>
      </c>
      <c r="B175">
        <v>55</v>
      </c>
      <c r="D175">
        <v>31</v>
      </c>
      <c r="E175">
        <v>29</v>
      </c>
      <c r="F175">
        <v>4</v>
      </c>
      <c r="G175">
        <v>36</v>
      </c>
      <c r="H175">
        <v>86</v>
      </c>
      <c r="I175">
        <v>0</v>
      </c>
      <c r="J175" t="s">
        <v>100</v>
      </c>
    </row>
    <row r="176" spans="1:10" x14ac:dyDescent="0.2">
      <c r="A176" s="1">
        <v>45859</v>
      </c>
      <c r="B176">
        <v>59</v>
      </c>
      <c r="D176">
        <v>60</v>
      </c>
      <c r="E176">
        <v>53</v>
      </c>
      <c r="F176">
        <v>7</v>
      </c>
      <c r="G176">
        <v>139</v>
      </c>
      <c r="H176">
        <v>73</v>
      </c>
      <c r="I176">
        <v>40</v>
      </c>
    </row>
    <row r="177" spans="1:11" x14ac:dyDescent="0.2">
      <c r="A177" s="1">
        <v>45859</v>
      </c>
      <c r="B177">
        <v>59</v>
      </c>
      <c r="D177">
        <v>28</v>
      </c>
      <c r="E177">
        <v>25</v>
      </c>
      <c r="F177">
        <v>6</v>
      </c>
      <c r="G177">
        <v>0</v>
      </c>
      <c r="H177">
        <v>39</v>
      </c>
      <c r="I177">
        <v>10</v>
      </c>
    </row>
    <row r="178" spans="1:11" x14ac:dyDescent="0.2">
      <c r="A178" s="1">
        <v>45859</v>
      </c>
      <c r="B178">
        <v>64</v>
      </c>
      <c r="D178">
        <v>37</v>
      </c>
      <c r="E178">
        <v>31</v>
      </c>
      <c r="F178">
        <v>3</v>
      </c>
      <c r="G178">
        <v>59</v>
      </c>
      <c r="H178">
        <v>34</v>
      </c>
      <c r="I178">
        <v>10</v>
      </c>
    </row>
    <row r="179" spans="1:11" x14ac:dyDescent="0.2">
      <c r="A179" s="1">
        <v>45869</v>
      </c>
      <c r="B179">
        <v>1</v>
      </c>
      <c r="D179">
        <v>108</v>
      </c>
      <c r="E179">
        <v>75</v>
      </c>
      <c r="F179">
        <v>8</v>
      </c>
      <c r="G179">
        <v>130</v>
      </c>
      <c r="H179">
        <v>470</v>
      </c>
      <c r="K179" t="s">
        <v>151</v>
      </c>
    </row>
    <row r="180" spans="1:11" x14ac:dyDescent="0.2">
      <c r="A180" s="1">
        <v>45869</v>
      </c>
      <c r="B180">
        <v>2</v>
      </c>
      <c r="D180">
        <v>49</v>
      </c>
      <c r="E180">
        <v>51</v>
      </c>
      <c r="F180">
        <v>6</v>
      </c>
      <c r="G180">
        <v>150</v>
      </c>
      <c r="H180">
        <v>-130</v>
      </c>
      <c r="K180" t="s">
        <v>151</v>
      </c>
    </row>
    <row r="181" spans="1:11" x14ac:dyDescent="0.2">
      <c r="A181" s="1">
        <v>45869</v>
      </c>
      <c r="B181">
        <v>3</v>
      </c>
      <c r="D181">
        <v>81</v>
      </c>
      <c r="E181">
        <v>73</v>
      </c>
      <c r="F181">
        <v>12</v>
      </c>
      <c r="G181">
        <v>190</v>
      </c>
      <c r="H181">
        <v>-179</v>
      </c>
      <c r="K181" t="s">
        <v>151</v>
      </c>
    </row>
    <row r="182" spans="1:11" x14ac:dyDescent="0.2">
      <c r="A182" s="1">
        <v>45869</v>
      </c>
      <c r="B182">
        <v>3</v>
      </c>
      <c r="D182">
        <v>40</v>
      </c>
      <c r="E182">
        <v>30</v>
      </c>
      <c r="F182">
        <v>8</v>
      </c>
      <c r="G182">
        <v>200</v>
      </c>
      <c r="H182">
        <v>200</v>
      </c>
      <c r="K182" t="s">
        <v>151</v>
      </c>
    </row>
    <row r="183" spans="1:11" x14ac:dyDescent="0.2">
      <c r="A183" s="1">
        <v>45869</v>
      </c>
      <c r="B183">
        <v>3</v>
      </c>
      <c r="D183">
        <v>70</v>
      </c>
      <c r="E183">
        <v>79</v>
      </c>
      <c r="F183">
        <v>10</v>
      </c>
      <c r="G183">
        <v>140</v>
      </c>
      <c r="H183">
        <v>-80</v>
      </c>
      <c r="K183" t="s">
        <v>151</v>
      </c>
    </row>
    <row r="184" spans="1:11" x14ac:dyDescent="0.2">
      <c r="A184" s="1">
        <v>45869</v>
      </c>
      <c r="B184">
        <v>3</v>
      </c>
      <c r="D184">
        <v>105</v>
      </c>
      <c r="E184">
        <v>79</v>
      </c>
      <c r="F184">
        <v>9</v>
      </c>
      <c r="G184">
        <v>0</v>
      </c>
      <c r="H184">
        <v>0</v>
      </c>
      <c r="K184" t="s">
        <v>151</v>
      </c>
    </row>
    <row r="185" spans="1:11" x14ac:dyDescent="0.2">
      <c r="A185" s="1">
        <v>45869</v>
      </c>
      <c r="B185">
        <v>4</v>
      </c>
      <c r="D185">
        <v>59</v>
      </c>
      <c r="E185">
        <v>67</v>
      </c>
      <c r="F185">
        <v>7</v>
      </c>
      <c r="G185">
        <v>230</v>
      </c>
      <c r="H185">
        <v>-85</v>
      </c>
      <c r="K185" t="s">
        <v>151</v>
      </c>
    </row>
    <row r="186" spans="1:11" x14ac:dyDescent="0.2">
      <c r="A186" s="1">
        <v>45869</v>
      </c>
      <c r="B186">
        <v>4</v>
      </c>
      <c r="D186">
        <v>57</v>
      </c>
      <c r="E186">
        <v>46</v>
      </c>
      <c r="F186">
        <v>5</v>
      </c>
      <c r="G186">
        <v>68</v>
      </c>
      <c r="H186">
        <v>-60</v>
      </c>
      <c r="K186" t="s">
        <v>151</v>
      </c>
    </row>
    <row r="187" spans="1:11" x14ac:dyDescent="0.2">
      <c r="A187" s="1">
        <v>45869</v>
      </c>
      <c r="B187">
        <v>5</v>
      </c>
      <c r="D187">
        <v>59</v>
      </c>
      <c r="E187">
        <v>78</v>
      </c>
      <c r="F187">
        <v>8</v>
      </c>
      <c r="G187">
        <v>-20</v>
      </c>
      <c r="H187">
        <v>-30</v>
      </c>
      <c r="K187" t="s">
        <v>151</v>
      </c>
    </row>
    <row r="188" spans="1:11" x14ac:dyDescent="0.2">
      <c r="A188" s="1">
        <v>45869</v>
      </c>
      <c r="B188">
        <v>7</v>
      </c>
      <c r="D188">
        <v>82</v>
      </c>
      <c r="E188">
        <v>76</v>
      </c>
      <c r="F188">
        <v>14</v>
      </c>
      <c r="G188">
        <v>150</v>
      </c>
      <c r="H188">
        <v>90</v>
      </c>
      <c r="K188" t="s">
        <v>151</v>
      </c>
    </row>
    <row r="189" spans="1:11" x14ac:dyDescent="0.2">
      <c r="A189" s="1">
        <v>45869</v>
      </c>
      <c r="B189">
        <v>7</v>
      </c>
      <c r="D189">
        <v>69</v>
      </c>
      <c r="E189">
        <v>56</v>
      </c>
      <c r="F189">
        <v>11</v>
      </c>
      <c r="G189">
        <v>95</v>
      </c>
      <c r="H189">
        <v>-30</v>
      </c>
      <c r="K189" t="s">
        <v>151</v>
      </c>
    </row>
    <row r="190" spans="1:11" x14ac:dyDescent="0.2">
      <c r="A190" s="1">
        <v>45869</v>
      </c>
      <c r="B190">
        <v>8</v>
      </c>
      <c r="D190">
        <v>80</v>
      </c>
      <c r="E190">
        <v>82</v>
      </c>
      <c r="F190">
        <v>7</v>
      </c>
      <c r="K190" t="s">
        <v>153</v>
      </c>
    </row>
    <row r="191" spans="1:11" x14ac:dyDescent="0.2">
      <c r="A191" s="1">
        <v>45869</v>
      </c>
      <c r="B191">
        <v>8</v>
      </c>
      <c r="D191">
        <v>60</v>
      </c>
      <c r="E191">
        <v>65</v>
      </c>
      <c r="F191">
        <v>11</v>
      </c>
      <c r="K191" t="s">
        <v>153</v>
      </c>
    </row>
    <row r="192" spans="1:11" x14ac:dyDescent="0.2">
      <c r="A192" s="1">
        <v>45869</v>
      </c>
      <c r="B192">
        <v>9</v>
      </c>
      <c r="D192">
        <v>88</v>
      </c>
      <c r="E192">
        <v>89</v>
      </c>
      <c r="F192">
        <v>14</v>
      </c>
      <c r="K192" t="s">
        <v>153</v>
      </c>
    </row>
    <row r="193" spans="1:11" x14ac:dyDescent="0.2">
      <c r="A193" s="1">
        <v>45869</v>
      </c>
      <c r="B193">
        <v>10</v>
      </c>
      <c r="D193">
        <v>54</v>
      </c>
      <c r="E193">
        <v>55</v>
      </c>
      <c r="F193">
        <v>7</v>
      </c>
      <c r="K193" t="s">
        <v>153</v>
      </c>
    </row>
    <row r="194" spans="1:11" x14ac:dyDescent="0.2">
      <c r="A194" s="1">
        <v>45869</v>
      </c>
      <c r="B194">
        <v>10</v>
      </c>
      <c r="D194">
        <v>53</v>
      </c>
      <c r="E194">
        <v>60</v>
      </c>
      <c r="F194">
        <v>6</v>
      </c>
      <c r="K194" t="s">
        <v>153</v>
      </c>
    </row>
    <row r="195" spans="1:11" x14ac:dyDescent="0.2">
      <c r="A195" s="1">
        <v>45869</v>
      </c>
      <c r="B195">
        <v>13</v>
      </c>
      <c r="D195">
        <v>58</v>
      </c>
      <c r="E195">
        <v>56</v>
      </c>
      <c r="F195">
        <v>5</v>
      </c>
      <c r="K195" t="s">
        <v>153</v>
      </c>
    </row>
    <row r="196" spans="1:11" x14ac:dyDescent="0.2">
      <c r="A196" s="1">
        <v>45869</v>
      </c>
      <c r="B196">
        <v>14</v>
      </c>
      <c r="D196">
        <v>80</v>
      </c>
      <c r="E196">
        <v>72</v>
      </c>
      <c r="F196">
        <v>8</v>
      </c>
      <c r="K196" t="s">
        <v>153</v>
      </c>
    </row>
    <row r="197" spans="1:11" x14ac:dyDescent="0.2">
      <c r="A197" s="1">
        <v>45869</v>
      </c>
      <c r="B197">
        <v>15</v>
      </c>
      <c r="D197">
        <v>60</v>
      </c>
      <c r="E197">
        <v>60</v>
      </c>
      <c r="F197">
        <v>6</v>
      </c>
      <c r="G197">
        <v>10</v>
      </c>
      <c r="H197">
        <v>-30</v>
      </c>
      <c r="K197" t="s">
        <v>153</v>
      </c>
    </row>
    <row r="198" spans="1:11" x14ac:dyDescent="0.2">
      <c r="A198" s="1">
        <v>45869</v>
      </c>
      <c r="B198">
        <v>17</v>
      </c>
      <c r="D198">
        <v>65</v>
      </c>
      <c r="E198">
        <v>49</v>
      </c>
      <c r="F198">
        <v>6</v>
      </c>
      <c r="G198">
        <v>90</v>
      </c>
      <c r="H198">
        <v>-80</v>
      </c>
      <c r="K198" t="s">
        <v>153</v>
      </c>
    </row>
    <row r="199" spans="1:11" x14ac:dyDescent="0.2">
      <c r="A199" s="1">
        <v>45869</v>
      </c>
      <c r="B199">
        <v>20</v>
      </c>
      <c r="D199">
        <v>63</v>
      </c>
      <c r="E199">
        <v>58</v>
      </c>
      <c r="F199">
        <v>7</v>
      </c>
      <c r="G199">
        <v>45</v>
      </c>
      <c r="H199">
        <v>-95</v>
      </c>
      <c r="K199" t="s">
        <v>153</v>
      </c>
    </row>
    <row r="200" spans="1:11" x14ac:dyDescent="0.2">
      <c r="A200" s="1">
        <v>45869</v>
      </c>
      <c r="B200">
        <v>21</v>
      </c>
      <c r="D200">
        <v>52</v>
      </c>
      <c r="E200">
        <v>49</v>
      </c>
      <c r="F200">
        <v>6</v>
      </c>
      <c r="K200" t="s">
        <v>153</v>
      </c>
    </row>
    <row r="201" spans="1:11" x14ac:dyDescent="0.2">
      <c r="A201" s="1">
        <v>45869</v>
      </c>
      <c r="B201">
        <v>22</v>
      </c>
      <c r="D201">
        <v>65</v>
      </c>
      <c r="E201">
        <v>58</v>
      </c>
      <c r="F201">
        <v>8</v>
      </c>
      <c r="K201" t="s">
        <v>153</v>
      </c>
    </row>
    <row r="202" spans="1:11" x14ac:dyDescent="0.2">
      <c r="A202" s="1">
        <v>45869</v>
      </c>
      <c r="B202">
        <v>23</v>
      </c>
      <c r="D202">
        <v>71</v>
      </c>
      <c r="E202">
        <v>69</v>
      </c>
      <c r="F202">
        <v>6</v>
      </c>
      <c r="K202" t="s">
        <v>153</v>
      </c>
    </row>
    <row r="203" spans="1:11" x14ac:dyDescent="0.2">
      <c r="A203" s="1">
        <v>45869</v>
      </c>
      <c r="B203">
        <v>25</v>
      </c>
      <c r="D203">
        <v>52</v>
      </c>
      <c r="E203">
        <v>54</v>
      </c>
      <c r="F203">
        <v>6</v>
      </c>
      <c r="K203" t="s">
        <v>153</v>
      </c>
    </row>
    <row r="204" spans="1:11" x14ac:dyDescent="0.2">
      <c r="A204" s="1">
        <v>45869</v>
      </c>
      <c r="B204">
        <v>27</v>
      </c>
      <c r="D204">
        <v>62</v>
      </c>
      <c r="E204">
        <v>50</v>
      </c>
      <c r="F204">
        <v>7</v>
      </c>
      <c r="K204" t="s">
        <v>153</v>
      </c>
    </row>
    <row r="205" spans="1:11" x14ac:dyDescent="0.2">
      <c r="A205" s="1">
        <v>45869</v>
      </c>
      <c r="B205">
        <v>28</v>
      </c>
      <c r="D205">
        <v>70</v>
      </c>
      <c r="E205">
        <v>68</v>
      </c>
      <c r="F205">
        <v>8</v>
      </c>
      <c r="K205" t="s">
        <v>153</v>
      </c>
    </row>
    <row r="206" spans="1:11" x14ac:dyDescent="0.2">
      <c r="A206" s="1">
        <v>45869</v>
      </c>
      <c r="B206">
        <v>29</v>
      </c>
      <c r="D206">
        <v>88</v>
      </c>
      <c r="E206">
        <v>63</v>
      </c>
      <c r="F206">
        <v>7</v>
      </c>
      <c r="K206" t="s">
        <v>153</v>
      </c>
    </row>
    <row r="207" spans="1:11" x14ac:dyDescent="0.2">
      <c r="A207" s="1">
        <v>45869</v>
      </c>
      <c r="B207">
        <v>32</v>
      </c>
      <c r="D207">
        <v>48</v>
      </c>
      <c r="E207">
        <v>41</v>
      </c>
      <c r="F207">
        <v>6</v>
      </c>
      <c r="K207" t="s">
        <v>153</v>
      </c>
    </row>
  </sheetData>
  <autoFilter ref="B2:B102" xr:uid="{C0ED5B3A-8099-4D17-A0B7-5A97FDFD5EC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3147-2110-4B44-B25D-911961A004B1}">
  <dimension ref="A1:AG52"/>
  <sheetViews>
    <sheetView zoomScaleNormal="100" workbookViewId="0">
      <selection activeCell="S30" sqref="S30"/>
    </sheetView>
  </sheetViews>
  <sheetFormatPr baseColWidth="10" defaultColWidth="8.83203125" defaultRowHeight="15" x14ac:dyDescent="0.2"/>
  <cols>
    <col min="1" max="1" width="9.33203125" bestFit="1" customWidth="1"/>
    <col min="2" max="2" width="9.1640625" bestFit="1" customWidth="1"/>
    <col min="4" max="16" width="9.1640625" bestFit="1" customWidth="1"/>
    <col min="21" max="30" width="9.1640625" bestFit="1" customWidth="1"/>
    <col min="31" max="31" width="9.1640625" customWidth="1"/>
  </cols>
  <sheetData>
    <row r="1" spans="1:33" x14ac:dyDescent="0.2">
      <c r="A1" t="s">
        <v>23</v>
      </c>
      <c r="U1" t="s">
        <v>71</v>
      </c>
    </row>
    <row r="2" spans="1:33" x14ac:dyDescent="0.2">
      <c r="A2" t="s">
        <v>24</v>
      </c>
      <c r="O2" t="s">
        <v>77</v>
      </c>
      <c r="U2" t="s">
        <v>72</v>
      </c>
    </row>
    <row r="3" spans="1:33" x14ac:dyDescent="0.2">
      <c r="A3" t="s">
        <v>4</v>
      </c>
      <c r="B3" t="s">
        <v>10</v>
      </c>
      <c r="C3" t="s">
        <v>25</v>
      </c>
      <c r="D3" t="s">
        <v>29</v>
      </c>
      <c r="E3" t="s">
        <v>30</v>
      </c>
      <c r="F3" t="s">
        <v>33</v>
      </c>
      <c r="G3" t="s">
        <v>31</v>
      </c>
      <c r="H3" t="s">
        <v>32</v>
      </c>
      <c r="I3" t="s">
        <v>34</v>
      </c>
      <c r="J3" t="s">
        <v>26</v>
      </c>
      <c r="K3" t="s">
        <v>14</v>
      </c>
      <c r="L3" t="s">
        <v>15</v>
      </c>
      <c r="M3" t="s">
        <v>16</v>
      </c>
      <c r="N3" t="s">
        <v>17</v>
      </c>
      <c r="O3" t="s">
        <v>78</v>
      </c>
      <c r="P3" t="s">
        <v>79</v>
      </c>
      <c r="Q3" t="s">
        <v>21</v>
      </c>
      <c r="U3" t="s">
        <v>4</v>
      </c>
      <c r="V3" t="s">
        <v>10</v>
      </c>
      <c r="W3" t="s">
        <v>14</v>
      </c>
      <c r="X3" t="s">
        <v>15</v>
      </c>
      <c r="Y3" t="s">
        <v>16</v>
      </c>
      <c r="Z3" t="s">
        <v>17</v>
      </c>
      <c r="AA3" t="s">
        <v>18</v>
      </c>
      <c r="AB3" t="s">
        <v>19</v>
      </c>
      <c r="AC3" t="s">
        <v>12</v>
      </c>
      <c r="AD3" t="s">
        <v>78</v>
      </c>
      <c r="AE3" t="s">
        <v>10</v>
      </c>
      <c r="AF3" t="s">
        <v>79</v>
      </c>
      <c r="AG3" t="s">
        <v>21</v>
      </c>
    </row>
    <row r="4" spans="1:33" x14ac:dyDescent="0.2">
      <c r="A4" s="1">
        <v>45845</v>
      </c>
      <c r="B4">
        <v>6</v>
      </c>
      <c r="C4" t="s">
        <v>27</v>
      </c>
      <c r="D4">
        <v>10</v>
      </c>
      <c r="E4">
        <v>25</v>
      </c>
      <c r="F4">
        <f>100-(D4+E4)</f>
        <v>65</v>
      </c>
      <c r="G4">
        <v>5</v>
      </c>
      <c r="H4">
        <v>5</v>
      </c>
      <c r="I4">
        <f>100-(G4+H4)</f>
        <v>90</v>
      </c>
      <c r="J4">
        <v>1</v>
      </c>
      <c r="K4">
        <v>1</v>
      </c>
      <c r="L4">
        <v>77</v>
      </c>
      <c r="M4">
        <v>44</v>
      </c>
      <c r="N4">
        <v>8</v>
      </c>
      <c r="O4">
        <f>(2/3)*L4*M4*N4*PI()</f>
        <v>56766.484855265167</v>
      </c>
      <c r="P4">
        <f>SUMIF(B4:B22, 6, O4:O22)</f>
        <v>67154.684563135408</v>
      </c>
      <c r="U4" s="1">
        <v>45840</v>
      </c>
      <c r="V4">
        <v>42</v>
      </c>
      <c r="W4">
        <v>1</v>
      </c>
      <c r="X4">
        <v>54</v>
      </c>
      <c r="Y4">
        <v>50</v>
      </c>
      <c r="Z4">
        <v>12</v>
      </c>
      <c r="AA4" t="s">
        <v>41</v>
      </c>
      <c r="AC4">
        <v>0</v>
      </c>
      <c r="AD4">
        <f>(2/3)*X4*Y4*Z4*PI()</f>
        <v>67858.401317539538</v>
      </c>
      <c r="AE4">
        <v>6</v>
      </c>
      <c r="AF4">
        <f>SUMIF(V4:V13, 6, AD4:AD13)</f>
        <v>54286.721054031623</v>
      </c>
      <c r="AG4" t="s">
        <v>22</v>
      </c>
    </row>
    <row r="5" spans="1:33" x14ac:dyDescent="0.2">
      <c r="A5" s="1">
        <v>45845</v>
      </c>
      <c r="B5">
        <v>6</v>
      </c>
      <c r="C5" t="s">
        <v>28</v>
      </c>
      <c r="D5">
        <v>10</v>
      </c>
      <c r="E5">
        <v>30</v>
      </c>
      <c r="F5">
        <f t="shared" ref="F5:F17" si="0">100-(D5+E5)</f>
        <v>60</v>
      </c>
      <c r="G5">
        <v>0</v>
      </c>
      <c r="H5">
        <v>5</v>
      </c>
      <c r="I5">
        <f t="shared" ref="I5:I17" si="1">100-(G5+H5)</f>
        <v>95</v>
      </c>
      <c r="J5">
        <v>1</v>
      </c>
      <c r="K5">
        <v>1</v>
      </c>
      <c r="L5">
        <v>31</v>
      </c>
      <c r="M5">
        <v>32</v>
      </c>
      <c r="N5">
        <v>5</v>
      </c>
      <c r="O5">
        <f t="shared" ref="O5:O52" si="2">(2/3)*L5*M5*N5*PI()</f>
        <v>10388.199707870248</v>
      </c>
      <c r="U5" s="1">
        <v>45845</v>
      </c>
      <c r="V5">
        <v>6</v>
      </c>
      <c r="W5">
        <v>1</v>
      </c>
      <c r="X5">
        <v>60</v>
      </c>
      <c r="Y5">
        <v>48</v>
      </c>
      <c r="Z5">
        <v>9</v>
      </c>
      <c r="AA5" t="s">
        <v>43</v>
      </c>
      <c r="AC5">
        <v>0</v>
      </c>
      <c r="AD5">
        <f t="shared" ref="AD5:AD19" si="3">(2/3)*X5*Y5*Z5*PI()</f>
        <v>54286.721054031623</v>
      </c>
      <c r="AE5">
        <v>10</v>
      </c>
      <c r="AF5">
        <f>SUMIF(V5:V16, 10, AD5:AD16)</f>
        <v>44401.176170735736</v>
      </c>
    </row>
    <row r="6" spans="1:33" x14ac:dyDescent="0.2">
      <c r="A6" s="1">
        <v>45845</v>
      </c>
      <c r="B6">
        <v>10</v>
      </c>
      <c r="C6" t="s">
        <v>27</v>
      </c>
      <c r="D6">
        <v>10</v>
      </c>
      <c r="E6">
        <v>40</v>
      </c>
      <c r="F6">
        <f t="shared" si="0"/>
        <v>50</v>
      </c>
      <c r="G6">
        <v>0</v>
      </c>
      <c r="H6">
        <v>5</v>
      </c>
      <c r="I6">
        <f t="shared" si="1"/>
        <v>95</v>
      </c>
      <c r="J6">
        <v>0</v>
      </c>
      <c r="O6">
        <f t="shared" si="2"/>
        <v>0</v>
      </c>
      <c r="P6">
        <f>SUMIF(B4:B22, 10, O4:O22)</f>
        <v>118165.77167702407</v>
      </c>
      <c r="U6" s="1">
        <v>45845</v>
      </c>
      <c r="V6">
        <v>10</v>
      </c>
      <c r="W6">
        <v>1</v>
      </c>
      <c r="X6">
        <v>53</v>
      </c>
      <c r="Y6">
        <v>40</v>
      </c>
      <c r="Z6">
        <v>10</v>
      </c>
      <c r="AA6" t="s">
        <v>43</v>
      </c>
      <c r="AC6">
        <v>0</v>
      </c>
      <c r="AD6">
        <f t="shared" si="3"/>
        <v>44401.176170735736</v>
      </c>
      <c r="AE6">
        <v>23</v>
      </c>
      <c r="AF6">
        <f>SUMIF(V4:V13, 23, AD4:AD13)</f>
        <v>42903.68367252461</v>
      </c>
    </row>
    <row r="7" spans="1:33" x14ac:dyDescent="0.2">
      <c r="A7" s="1">
        <v>45845</v>
      </c>
      <c r="B7">
        <v>10</v>
      </c>
      <c r="C7" t="s">
        <v>28</v>
      </c>
      <c r="D7">
        <v>5</v>
      </c>
      <c r="E7">
        <v>10</v>
      </c>
      <c r="F7">
        <f t="shared" si="0"/>
        <v>85</v>
      </c>
      <c r="G7">
        <v>0</v>
      </c>
      <c r="H7">
        <v>5</v>
      </c>
      <c r="I7">
        <f t="shared" si="1"/>
        <v>95</v>
      </c>
      <c r="J7">
        <v>1</v>
      </c>
      <c r="K7">
        <v>1</v>
      </c>
      <c r="L7">
        <v>91</v>
      </c>
      <c r="M7">
        <v>62</v>
      </c>
      <c r="N7">
        <v>10</v>
      </c>
      <c r="O7">
        <f t="shared" si="2"/>
        <v>118165.77167702407</v>
      </c>
      <c r="U7" s="1">
        <v>45845</v>
      </c>
      <c r="V7">
        <v>23</v>
      </c>
      <c r="W7">
        <v>1</v>
      </c>
      <c r="X7">
        <v>37</v>
      </c>
      <c r="Y7">
        <v>29</v>
      </c>
      <c r="Z7">
        <v>5</v>
      </c>
      <c r="AA7" t="s">
        <v>52</v>
      </c>
      <c r="AC7">
        <v>0</v>
      </c>
      <c r="AD7">
        <f t="shared" si="3"/>
        <v>11236.429724339492</v>
      </c>
      <c r="AE7">
        <v>28</v>
      </c>
      <c r="AF7">
        <f>SUMIF(V4:V13, 28, AD4:AD13)</f>
        <v>0</v>
      </c>
    </row>
    <row r="8" spans="1:33" x14ac:dyDescent="0.2">
      <c r="A8" s="1">
        <v>45845</v>
      </c>
      <c r="B8">
        <v>23</v>
      </c>
      <c r="C8" t="s">
        <v>27</v>
      </c>
      <c r="D8">
        <v>5</v>
      </c>
      <c r="E8">
        <v>20</v>
      </c>
      <c r="F8">
        <f t="shared" si="0"/>
        <v>75</v>
      </c>
      <c r="G8">
        <v>0</v>
      </c>
      <c r="H8">
        <v>5</v>
      </c>
      <c r="I8">
        <f t="shared" si="1"/>
        <v>95</v>
      </c>
      <c r="J8">
        <v>1</v>
      </c>
      <c r="K8">
        <v>1</v>
      </c>
      <c r="L8">
        <v>30</v>
      </c>
      <c r="M8">
        <v>18</v>
      </c>
      <c r="N8">
        <v>7</v>
      </c>
      <c r="O8">
        <f t="shared" si="2"/>
        <v>7916.8134870462791</v>
      </c>
      <c r="P8">
        <f>SUMIF(B4:B22, 23, O4:O22)</f>
        <v>36899.052913963314</v>
      </c>
      <c r="U8" s="1">
        <v>45845</v>
      </c>
      <c r="V8">
        <v>23</v>
      </c>
      <c r="W8">
        <v>2</v>
      </c>
      <c r="X8">
        <v>63</v>
      </c>
      <c r="Y8">
        <v>40</v>
      </c>
      <c r="Z8">
        <v>6</v>
      </c>
      <c r="AA8" t="s">
        <v>53</v>
      </c>
      <c r="AC8">
        <v>5</v>
      </c>
      <c r="AD8">
        <f t="shared" si="3"/>
        <v>31667.253948185116</v>
      </c>
      <c r="AE8">
        <v>36</v>
      </c>
      <c r="AF8">
        <f>SUMIF(V4:V13, 36, AD4:AD13)</f>
        <v>28483.773392547457</v>
      </c>
    </row>
    <row r="9" spans="1:33" x14ac:dyDescent="0.2">
      <c r="A9" s="1">
        <v>45845</v>
      </c>
      <c r="B9">
        <v>23</v>
      </c>
      <c r="C9" t="s">
        <v>28</v>
      </c>
      <c r="D9">
        <v>10</v>
      </c>
      <c r="E9">
        <v>40</v>
      </c>
      <c r="F9">
        <f t="shared" si="0"/>
        <v>50</v>
      </c>
      <c r="G9">
        <v>0</v>
      </c>
      <c r="H9">
        <v>5</v>
      </c>
      <c r="I9">
        <f t="shared" si="1"/>
        <v>95</v>
      </c>
      <c r="J9">
        <v>1</v>
      </c>
      <c r="K9">
        <v>1</v>
      </c>
      <c r="L9">
        <v>34</v>
      </c>
      <c r="M9">
        <v>37</v>
      </c>
      <c r="N9">
        <v>11</v>
      </c>
      <c r="O9">
        <f t="shared" si="2"/>
        <v>28982.239426917033</v>
      </c>
      <c r="U9" s="1">
        <v>45845</v>
      </c>
      <c r="V9">
        <v>36</v>
      </c>
      <c r="W9">
        <v>1</v>
      </c>
      <c r="X9">
        <v>40</v>
      </c>
      <c r="Y9">
        <v>34</v>
      </c>
      <c r="Z9">
        <v>10</v>
      </c>
      <c r="AA9" t="s">
        <v>54</v>
      </c>
      <c r="AC9">
        <v>0</v>
      </c>
      <c r="AD9">
        <f t="shared" si="3"/>
        <v>28483.773392547457</v>
      </c>
      <c r="AE9">
        <v>42</v>
      </c>
      <c r="AF9">
        <f>SUMIF(V4:V13, 42, AD4:AD13)</f>
        <v>164217.33118844568</v>
      </c>
    </row>
    <row r="10" spans="1:33" x14ac:dyDescent="0.2">
      <c r="A10" s="1">
        <v>45845</v>
      </c>
      <c r="B10">
        <v>28</v>
      </c>
      <c r="C10" t="s">
        <v>27</v>
      </c>
      <c r="D10">
        <v>5</v>
      </c>
      <c r="E10">
        <v>10</v>
      </c>
      <c r="F10">
        <f t="shared" si="0"/>
        <v>85</v>
      </c>
      <c r="G10">
        <v>0</v>
      </c>
      <c r="H10">
        <v>5</v>
      </c>
      <c r="I10">
        <f t="shared" si="1"/>
        <v>95</v>
      </c>
      <c r="J10">
        <v>0</v>
      </c>
      <c r="O10">
        <f t="shared" si="2"/>
        <v>0</v>
      </c>
      <c r="P10">
        <f>SUMIF(B4:B22, 28, O4:O22)</f>
        <v>0</v>
      </c>
      <c r="U10" s="1">
        <v>45845</v>
      </c>
      <c r="V10">
        <v>42</v>
      </c>
      <c r="W10">
        <v>1</v>
      </c>
      <c r="X10">
        <v>72</v>
      </c>
      <c r="Y10">
        <v>65</v>
      </c>
      <c r="Z10">
        <v>8</v>
      </c>
      <c r="AA10" t="s">
        <v>41</v>
      </c>
      <c r="AC10">
        <v>0</v>
      </c>
      <c r="AD10">
        <f t="shared" si="3"/>
        <v>78414.152633601232</v>
      </c>
      <c r="AE10">
        <v>52</v>
      </c>
      <c r="AF10">
        <f>SUMIF(V4:V13, 52, AD4:AD13)</f>
        <v>0</v>
      </c>
    </row>
    <row r="11" spans="1:33" x14ac:dyDescent="0.2">
      <c r="A11" s="1">
        <v>45845</v>
      </c>
      <c r="B11">
        <v>28</v>
      </c>
      <c r="C11" t="s">
        <v>28</v>
      </c>
      <c r="D11">
        <v>0</v>
      </c>
      <c r="E11">
        <v>5</v>
      </c>
      <c r="F11">
        <f t="shared" si="0"/>
        <v>95</v>
      </c>
      <c r="G11">
        <v>0</v>
      </c>
      <c r="H11">
        <v>5</v>
      </c>
      <c r="I11">
        <f t="shared" si="1"/>
        <v>95</v>
      </c>
      <c r="J11">
        <v>0</v>
      </c>
      <c r="O11">
        <f t="shared" si="2"/>
        <v>0</v>
      </c>
      <c r="U11" s="1">
        <v>45845</v>
      </c>
      <c r="V11">
        <v>42</v>
      </c>
      <c r="W11">
        <v>2</v>
      </c>
      <c r="X11">
        <v>34</v>
      </c>
      <c r="Y11">
        <v>36</v>
      </c>
      <c r="Z11">
        <v>7</v>
      </c>
      <c r="AA11" t="s">
        <v>52</v>
      </c>
      <c r="AC11">
        <v>0</v>
      </c>
      <c r="AD11">
        <f t="shared" si="3"/>
        <v>17944.777237304894</v>
      </c>
      <c r="AE11">
        <v>60</v>
      </c>
      <c r="AF11">
        <f>SUMIF(V4:V13, 60, AD4:AD13)</f>
        <v>15984.423421464866</v>
      </c>
    </row>
    <row r="12" spans="1:33" x14ac:dyDescent="0.2">
      <c r="A12" s="1">
        <v>45845</v>
      </c>
      <c r="B12">
        <v>36</v>
      </c>
      <c r="C12" t="s">
        <v>27</v>
      </c>
      <c r="D12">
        <v>0</v>
      </c>
      <c r="E12">
        <v>5</v>
      </c>
      <c r="F12">
        <f t="shared" ref="F12" si="4">100-(D12+E12)</f>
        <v>95</v>
      </c>
      <c r="G12">
        <v>0</v>
      </c>
      <c r="H12">
        <v>5</v>
      </c>
      <c r="I12">
        <f t="shared" ref="I12" si="5">100-(G12+H12)</f>
        <v>95</v>
      </c>
      <c r="J12">
        <v>2</v>
      </c>
      <c r="K12">
        <v>1</v>
      </c>
      <c r="L12">
        <v>28</v>
      </c>
      <c r="M12">
        <v>25</v>
      </c>
      <c r="N12">
        <v>6</v>
      </c>
      <c r="O12">
        <f t="shared" si="2"/>
        <v>8796.45943005142</v>
      </c>
      <c r="P12">
        <f>SUMIF(B4:B22, 36, O4:O22)</f>
        <v>87813.797853141907</v>
      </c>
      <c r="U12" s="1">
        <v>45845</v>
      </c>
      <c r="V12">
        <v>60</v>
      </c>
      <c r="W12">
        <v>1</v>
      </c>
      <c r="X12">
        <v>46</v>
      </c>
      <c r="Y12">
        <v>40</v>
      </c>
      <c r="Z12">
        <v>3</v>
      </c>
      <c r="AA12" t="s">
        <v>54</v>
      </c>
      <c r="AC12">
        <v>0</v>
      </c>
      <c r="AD12">
        <f t="shared" si="3"/>
        <v>11561.060965210438</v>
      </c>
    </row>
    <row r="13" spans="1:33" x14ac:dyDescent="0.2">
      <c r="A13" s="1">
        <v>45845</v>
      </c>
      <c r="B13">
        <v>36</v>
      </c>
      <c r="C13" t="s">
        <v>27</v>
      </c>
      <c r="D13">
        <v>0</v>
      </c>
      <c r="E13">
        <v>5</v>
      </c>
      <c r="F13">
        <f t="shared" si="0"/>
        <v>95</v>
      </c>
      <c r="G13">
        <v>0</v>
      </c>
      <c r="H13">
        <v>5</v>
      </c>
      <c r="I13">
        <f t="shared" si="1"/>
        <v>95</v>
      </c>
      <c r="J13">
        <v>2</v>
      </c>
      <c r="K13">
        <v>2</v>
      </c>
      <c r="L13">
        <v>38</v>
      </c>
      <c r="M13">
        <v>39</v>
      </c>
      <c r="N13">
        <v>8</v>
      </c>
      <c r="O13">
        <f t="shared" si="2"/>
        <v>24831.148333973724</v>
      </c>
      <c r="U13" s="1">
        <v>45845</v>
      </c>
      <c r="V13">
        <v>60</v>
      </c>
      <c r="W13">
        <v>2</v>
      </c>
      <c r="X13">
        <v>32</v>
      </c>
      <c r="Y13">
        <v>33</v>
      </c>
      <c r="Z13">
        <v>2</v>
      </c>
      <c r="AA13" t="s">
        <v>49</v>
      </c>
      <c r="AC13">
        <v>0</v>
      </c>
      <c r="AD13">
        <f t="shared" si="3"/>
        <v>4423.3624562544283</v>
      </c>
    </row>
    <row r="14" spans="1:33" x14ac:dyDescent="0.2">
      <c r="A14" s="1">
        <v>45845</v>
      </c>
      <c r="B14">
        <v>36</v>
      </c>
      <c r="C14" t="s">
        <v>28</v>
      </c>
      <c r="D14">
        <v>0</v>
      </c>
      <c r="E14">
        <v>5</v>
      </c>
      <c r="F14">
        <f t="shared" si="0"/>
        <v>95</v>
      </c>
      <c r="G14">
        <v>0</v>
      </c>
      <c r="H14">
        <v>5</v>
      </c>
      <c r="I14">
        <f t="shared" si="1"/>
        <v>95</v>
      </c>
      <c r="J14">
        <v>1</v>
      </c>
      <c r="K14">
        <v>1</v>
      </c>
      <c r="L14">
        <v>49</v>
      </c>
      <c r="M14">
        <v>48</v>
      </c>
      <c r="N14">
        <v>11</v>
      </c>
      <c r="O14">
        <f t="shared" si="2"/>
        <v>54186.190089116753</v>
      </c>
      <c r="U14" s="1">
        <v>45845</v>
      </c>
      <c r="V14">
        <v>28</v>
      </c>
      <c r="W14">
        <v>0</v>
      </c>
    </row>
    <row r="15" spans="1:33" x14ac:dyDescent="0.2">
      <c r="A15" s="1">
        <v>45845</v>
      </c>
      <c r="B15">
        <v>42</v>
      </c>
      <c r="C15" t="s">
        <v>27</v>
      </c>
      <c r="D15">
        <v>5</v>
      </c>
      <c r="E15">
        <v>10</v>
      </c>
      <c r="F15">
        <f t="shared" si="0"/>
        <v>85</v>
      </c>
      <c r="G15">
        <v>0</v>
      </c>
      <c r="H15">
        <v>5</v>
      </c>
      <c r="I15">
        <f t="shared" si="1"/>
        <v>95</v>
      </c>
      <c r="J15">
        <v>0</v>
      </c>
      <c r="O15">
        <f t="shared" si="2"/>
        <v>0</v>
      </c>
      <c r="P15">
        <f>SUMIF(B4:B22, 42, O4:O22)</f>
        <v>0</v>
      </c>
      <c r="U15" s="1">
        <v>45845</v>
      </c>
      <c r="V15">
        <v>52</v>
      </c>
      <c r="W15">
        <v>0</v>
      </c>
    </row>
    <row r="16" spans="1:33" x14ac:dyDescent="0.2">
      <c r="A16" s="1">
        <v>45845</v>
      </c>
      <c r="B16">
        <v>42</v>
      </c>
      <c r="C16" t="s">
        <v>28</v>
      </c>
      <c r="D16">
        <v>5</v>
      </c>
      <c r="E16">
        <v>10</v>
      </c>
      <c r="F16">
        <f t="shared" si="0"/>
        <v>85</v>
      </c>
      <c r="G16">
        <v>0</v>
      </c>
      <c r="H16">
        <v>5</v>
      </c>
      <c r="I16">
        <f t="shared" si="1"/>
        <v>95</v>
      </c>
      <c r="J16">
        <v>0</v>
      </c>
      <c r="O16">
        <f t="shared" si="2"/>
        <v>0</v>
      </c>
      <c r="U16" s="1">
        <v>45853</v>
      </c>
      <c r="V16">
        <v>60</v>
      </c>
      <c r="W16">
        <v>1</v>
      </c>
      <c r="X16">
        <v>48</v>
      </c>
      <c r="Y16">
        <v>46</v>
      </c>
      <c r="Z16">
        <v>9</v>
      </c>
      <c r="AA16" t="s">
        <v>37</v>
      </c>
      <c r="AB16" t="s">
        <v>37</v>
      </c>
      <c r="AC16">
        <v>10</v>
      </c>
      <c r="AD16">
        <f t="shared" si="3"/>
        <v>41619.819474757576</v>
      </c>
    </row>
    <row r="17" spans="1:30" x14ac:dyDescent="0.2">
      <c r="A17" s="1">
        <v>45845</v>
      </c>
      <c r="B17">
        <v>52</v>
      </c>
      <c r="C17" t="s">
        <v>27</v>
      </c>
      <c r="D17">
        <v>5</v>
      </c>
      <c r="E17">
        <v>15</v>
      </c>
      <c r="F17">
        <f t="shared" si="0"/>
        <v>80</v>
      </c>
      <c r="G17">
        <v>5</v>
      </c>
      <c r="H17">
        <v>15</v>
      </c>
      <c r="I17">
        <f t="shared" si="1"/>
        <v>80</v>
      </c>
      <c r="J17">
        <v>0</v>
      </c>
      <c r="O17">
        <f t="shared" si="2"/>
        <v>0</v>
      </c>
      <c r="P17">
        <f>SUMIF(B4:B22, 52, O4:O22)</f>
        <v>36961.88476703511</v>
      </c>
      <c r="U17" s="1">
        <v>45853</v>
      </c>
      <c r="V17">
        <v>10</v>
      </c>
      <c r="W17">
        <v>1</v>
      </c>
      <c r="X17">
        <v>46</v>
      </c>
      <c r="Y17">
        <v>56</v>
      </c>
      <c r="Z17">
        <v>10</v>
      </c>
      <c r="AA17">
        <v>155</v>
      </c>
      <c r="AB17">
        <v>95</v>
      </c>
      <c r="AC17">
        <v>8</v>
      </c>
      <c r="AD17">
        <f t="shared" si="3"/>
        <v>53951.617837648708</v>
      </c>
    </row>
    <row r="18" spans="1:30" x14ac:dyDescent="0.2">
      <c r="A18" s="1">
        <v>45845</v>
      </c>
      <c r="B18">
        <v>52</v>
      </c>
      <c r="C18" t="s">
        <v>28</v>
      </c>
      <c r="D18">
        <v>5</v>
      </c>
      <c r="E18">
        <v>15</v>
      </c>
      <c r="F18">
        <f>100-(D18+E18)</f>
        <v>80</v>
      </c>
      <c r="G18">
        <v>5</v>
      </c>
      <c r="H18">
        <v>15</v>
      </c>
      <c r="I18">
        <f>100-(G18+H18)</f>
        <v>80</v>
      </c>
      <c r="J18">
        <v>3</v>
      </c>
      <c r="K18">
        <v>1</v>
      </c>
      <c r="L18">
        <v>40</v>
      </c>
      <c r="M18">
        <v>40</v>
      </c>
      <c r="N18">
        <v>5</v>
      </c>
      <c r="O18">
        <f t="shared" si="2"/>
        <v>16755.16081914556</v>
      </c>
      <c r="U18" s="1">
        <v>45853</v>
      </c>
      <c r="V18">
        <v>42</v>
      </c>
      <c r="W18">
        <v>1</v>
      </c>
      <c r="X18">
        <v>48</v>
      </c>
      <c r="Y18">
        <v>31</v>
      </c>
      <c r="Z18">
        <v>8</v>
      </c>
      <c r="AA18">
        <v>117</v>
      </c>
      <c r="AB18">
        <v>30</v>
      </c>
      <c r="AC18">
        <v>0</v>
      </c>
      <c r="AD18">
        <f t="shared" si="3"/>
        <v>24931.679298888597</v>
      </c>
    </row>
    <row r="19" spans="1:30" x14ac:dyDescent="0.2">
      <c r="A19" s="1">
        <v>45845</v>
      </c>
      <c r="B19">
        <v>52</v>
      </c>
      <c r="C19" t="s">
        <v>28</v>
      </c>
      <c r="D19">
        <v>5</v>
      </c>
      <c r="E19">
        <v>15</v>
      </c>
      <c r="F19">
        <f t="shared" ref="F19" si="6">100-(D19+E19)</f>
        <v>80</v>
      </c>
      <c r="G19">
        <v>5</v>
      </c>
      <c r="H19">
        <v>15</v>
      </c>
      <c r="I19">
        <f t="shared" ref="I19" si="7">100-(G19+H19)</f>
        <v>80</v>
      </c>
      <c r="J19">
        <v>3</v>
      </c>
      <c r="K19">
        <v>2</v>
      </c>
      <c r="L19">
        <v>36</v>
      </c>
      <c r="M19">
        <v>41</v>
      </c>
      <c r="N19">
        <v>5</v>
      </c>
      <c r="O19">
        <f t="shared" si="2"/>
        <v>15456.635855661782</v>
      </c>
      <c r="U19" s="1">
        <v>45856</v>
      </c>
      <c r="V19">
        <v>36</v>
      </c>
      <c r="W19">
        <v>1</v>
      </c>
      <c r="X19">
        <v>40</v>
      </c>
      <c r="Y19">
        <v>41</v>
      </c>
      <c r="Z19">
        <v>6</v>
      </c>
      <c r="AA19">
        <v>0</v>
      </c>
      <c r="AB19">
        <v>79</v>
      </c>
      <c r="AC19">
        <v>10</v>
      </c>
      <c r="AD19">
        <f t="shared" si="3"/>
        <v>20608.847807549042</v>
      </c>
    </row>
    <row r="20" spans="1:30" x14ac:dyDescent="0.2">
      <c r="A20" s="1">
        <v>45845</v>
      </c>
      <c r="B20">
        <v>52</v>
      </c>
      <c r="C20" t="s">
        <v>28</v>
      </c>
      <c r="D20">
        <v>5</v>
      </c>
      <c r="E20">
        <v>15</v>
      </c>
      <c r="F20">
        <f t="shared" ref="F20:F52" si="8">100-(D20+E20)</f>
        <v>80</v>
      </c>
      <c r="G20">
        <v>5</v>
      </c>
      <c r="H20">
        <v>15</v>
      </c>
      <c r="I20">
        <f t="shared" ref="I20:I52" si="9">100-(G20+H20)</f>
        <v>80</v>
      </c>
      <c r="J20">
        <v>3</v>
      </c>
      <c r="K20">
        <v>3</v>
      </c>
      <c r="L20">
        <v>28</v>
      </c>
      <c r="M20">
        <v>27</v>
      </c>
      <c r="N20">
        <v>3</v>
      </c>
      <c r="O20">
        <f t="shared" si="2"/>
        <v>4750.0880922277665</v>
      </c>
      <c r="U20" s="1">
        <v>45856</v>
      </c>
      <c r="V20">
        <v>42</v>
      </c>
      <c r="W20">
        <v>1</v>
      </c>
      <c r="X20">
        <v>59</v>
      </c>
      <c r="Y20">
        <v>53</v>
      </c>
      <c r="Z20">
        <v>4</v>
      </c>
      <c r="AA20">
        <v>135</v>
      </c>
      <c r="AB20">
        <v>0</v>
      </c>
      <c r="AC20">
        <v>0</v>
      </c>
      <c r="AD20" t="s">
        <v>68</v>
      </c>
    </row>
    <row r="21" spans="1:30" x14ac:dyDescent="0.2">
      <c r="A21" s="1">
        <v>45845</v>
      </c>
      <c r="B21">
        <v>60</v>
      </c>
      <c r="C21" t="s">
        <v>27</v>
      </c>
      <c r="D21">
        <v>0</v>
      </c>
      <c r="E21">
        <v>0</v>
      </c>
      <c r="F21">
        <f t="shared" si="8"/>
        <v>100</v>
      </c>
      <c r="G21">
        <v>0</v>
      </c>
      <c r="H21">
        <v>0</v>
      </c>
      <c r="I21">
        <f t="shared" si="9"/>
        <v>100</v>
      </c>
      <c r="J21">
        <v>0</v>
      </c>
      <c r="O21">
        <f t="shared" si="2"/>
        <v>0</v>
      </c>
      <c r="P21">
        <f>SUMIF(B4:B22, 60, O4:O22)</f>
        <v>47500.880922277669</v>
      </c>
    </row>
    <row r="22" spans="1:30" x14ac:dyDescent="0.2">
      <c r="A22" s="1">
        <v>45845</v>
      </c>
      <c r="B22">
        <v>60</v>
      </c>
      <c r="C22" t="s">
        <v>28</v>
      </c>
      <c r="D22">
        <v>0</v>
      </c>
      <c r="E22">
        <v>20</v>
      </c>
      <c r="F22">
        <f t="shared" si="8"/>
        <v>80</v>
      </c>
      <c r="G22">
        <v>0</v>
      </c>
      <c r="H22">
        <v>20</v>
      </c>
      <c r="I22">
        <f t="shared" si="9"/>
        <v>80</v>
      </c>
      <c r="J22">
        <v>1</v>
      </c>
      <c r="K22">
        <v>1</v>
      </c>
      <c r="L22">
        <v>63</v>
      </c>
      <c r="M22">
        <v>60</v>
      </c>
      <c r="N22">
        <v>6</v>
      </c>
      <c r="O22">
        <f t="shared" si="2"/>
        <v>47500.880922277669</v>
      </c>
    </row>
    <row r="23" spans="1:30" x14ac:dyDescent="0.2">
      <c r="A23" s="1">
        <v>45853</v>
      </c>
      <c r="B23">
        <v>60</v>
      </c>
      <c r="C23" t="s">
        <v>27</v>
      </c>
      <c r="D23">
        <v>0</v>
      </c>
      <c r="E23">
        <v>15</v>
      </c>
      <c r="F23">
        <f t="shared" si="8"/>
        <v>85</v>
      </c>
      <c r="G23">
        <v>0</v>
      </c>
      <c r="H23">
        <v>15</v>
      </c>
      <c r="I23">
        <f t="shared" si="9"/>
        <v>85</v>
      </c>
      <c r="J23">
        <v>0</v>
      </c>
      <c r="O23">
        <f t="shared" si="2"/>
        <v>0</v>
      </c>
    </row>
    <row r="24" spans="1:30" x14ac:dyDescent="0.2">
      <c r="A24" s="1">
        <v>45853</v>
      </c>
      <c r="B24">
        <v>60</v>
      </c>
      <c r="C24" t="s">
        <v>28</v>
      </c>
      <c r="D24">
        <v>5</v>
      </c>
      <c r="E24">
        <v>20</v>
      </c>
      <c r="F24">
        <f t="shared" si="8"/>
        <v>75</v>
      </c>
      <c r="G24">
        <v>5</v>
      </c>
      <c r="H24">
        <v>20</v>
      </c>
      <c r="I24">
        <f t="shared" si="9"/>
        <v>75</v>
      </c>
      <c r="J24">
        <v>1</v>
      </c>
      <c r="K24">
        <v>1</v>
      </c>
      <c r="L24">
        <v>51</v>
      </c>
      <c r="M24">
        <v>55</v>
      </c>
      <c r="N24">
        <v>9</v>
      </c>
      <c r="O24">
        <f t="shared" si="2"/>
        <v>52873.004359916216</v>
      </c>
      <c r="Q24" t="s">
        <v>38</v>
      </c>
    </row>
    <row r="25" spans="1:30" x14ac:dyDescent="0.2">
      <c r="A25" s="1">
        <v>45853</v>
      </c>
      <c r="B25">
        <v>52</v>
      </c>
      <c r="C25" t="s">
        <v>27</v>
      </c>
      <c r="D25">
        <v>10</v>
      </c>
      <c r="E25">
        <v>15</v>
      </c>
      <c r="F25">
        <f t="shared" si="8"/>
        <v>75</v>
      </c>
      <c r="G25">
        <v>10</v>
      </c>
      <c r="H25">
        <v>15</v>
      </c>
      <c r="I25">
        <f t="shared" si="9"/>
        <v>75</v>
      </c>
      <c r="J25">
        <v>1</v>
      </c>
      <c r="K25">
        <v>2</v>
      </c>
      <c r="L25">
        <v>38</v>
      </c>
      <c r="M25">
        <v>43</v>
      </c>
      <c r="N25">
        <v>4</v>
      </c>
      <c r="O25">
        <f t="shared" si="2"/>
        <v>13688.966389241925</v>
      </c>
      <c r="Q25" t="s">
        <v>39</v>
      </c>
      <c r="U25" t="s">
        <v>73</v>
      </c>
    </row>
    <row r="26" spans="1:30" x14ac:dyDescent="0.2">
      <c r="A26" s="1">
        <v>45853</v>
      </c>
      <c r="B26">
        <v>52</v>
      </c>
      <c r="C26" t="s">
        <v>28</v>
      </c>
      <c r="D26">
        <v>0</v>
      </c>
      <c r="E26">
        <v>15</v>
      </c>
      <c r="F26">
        <f t="shared" si="8"/>
        <v>85</v>
      </c>
      <c r="G26">
        <v>0</v>
      </c>
      <c r="H26">
        <v>15</v>
      </c>
      <c r="I26">
        <f t="shared" si="9"/>
        <v>85</v>
      </c>
      <c r="J26">
        <v>0</v>
      </c>
      <c r="O26">
        <f t="shared" si="2"/>
        <v>0</v>
      </c>
      <c r="U26" t="s">
        <v>75</v>
      </c>
      <c r="V26" t="s">
        <v>76</v>
      </c>
      <c r="W26" t="s">
        <v>80</v>
      </c>
      <c r="X26" t="s">
        <v>81</v>
      </c>
    </row>
    <row r="27" spans="1:30" x14ac:dyDescent="0.2">
      <c r="A27" s="1">
        <v>45853</v>
      </c>
      <c r="B27">
        <v>42</v>
      </c>
      <c r="C27" t="s">
        <v>27</v>
      </c>
      <c r="D27">
        <v>5</v>
      </c>
      <c r="E27">
        <v>15</v>
      </c>
      <c r="F27">
        <f t="shared" si="8"/>
        <v>80</v>
      </c>
      <c r="G27">
        <v>5</v>
      </c>
      <c r="H27">
        <v>15</v>
      </c>
      <c r="I27">
        <f t="shared" si="9"/>
        <v>80</v>
      </c>
      <c r="J27">
        <v>2</v>
      </c>
      <c r="K27">
        <v>1</v>
      </c>
      <c r="L27">
        <v>42</v>
      </c>
      <c r="M27">
        <v>45</v>
      </c>
      <c r="N27">
        <v>8</v>
      </c>
      <c r="O27">
        <f t="shared" si="2"/>
        <v>31667.253948185116</v>
      </c>
      <c r="U27">
        <f>AVERAGE(J4:J12,J14:J18,J21:J22,J22)</f>
        <v>0.76470588235294112</v>
      </c>
      <c r="V27">
        <f>AVERAGE(P4,P6,P8,P10,P12,P15,P17,P21)</f>
        <v>49312.009087072191</v>
      </c>
      <c r="W27">
        <f>_xlfn.STDEV.P(P4,P6,P8,P10,P12,P15,P17,P21)</f>
        <v>38266.867435218679</v>
      </c>
      <c r="X27">
        <f>W27/SQRT(8)</f>
        <v>13529.380729104896</v>
      </c>
    </row>
    <row r="28" spans="1:30" x14ac:dyDescent="0.2">
      <c r="A28" s="1">
        <v>45853</v>
      </c>
      <c r="B28">
        <v>42</v>
      </c>
      <c r="C28" t="s">
        <v>27</v>
      </c>
      <c r="D28">
        <v>5</v>
      </c>
      <c r="E28">
        <v>15</v>
      </c>
      <c r="F28">
        <f t="shared" si="8"/>
        <v>80</v>
      </c>
      <c r="G28">
        <v>5</v>
      </c>
      <c r="H28">
        <v>15</v>
      </c>
      <c r="I28">
        <f t="shared" si="9"/>
        <v>80</v>
      </c>
      <c r="J28">
        <v>2</v>
      </c>
      <c r="K28">
        <v>2</v>
      </c>
      <c r="L28">
        <v>59</v>
      </c>
      <c r="M28">
        <v>52</v>
      </c>
      <c r="N28">
        <v>12</v>
      </c>
      <c r="O28">
        <f t="shared" si="2"/>
        <v>77107.250089707872</v>
      </c>
    </row>
    <row r="29" spans="1:30" x14ac:dyDescent="0.2">
      <c r="A29" s="1">
        <v>45853</v>
      </c>
      <c r="B29">
        <v>42</v>
      </c>
      <c r="C29" t="s">
        <v>28</v>
      </c>
      <c r="D29">
        <v>0</v>
      </c>
      <c r="E29">
        <v>10</v>
      </c>
      <c r="F29">
        <f t="shared" si="8"/>
        <v>90</v>
      </c>
      <c r="G29">
        <v>0</v>
      </c>
      <c r="H29">
        <v>10</v>
      </c>
      <c r="I29">
        <f t="shared" si="9"/>
        <v>90</v>
      </c>
      <c r="J29">
        <v>2</v>
      </c>
      <c r="K29">
        <v>1</v>
      </c>
      <c r="L29">
        <v>42</v>
      </c>
      <c r="M29">
        <v>45</v>
      </c>
      <c r="N29">
        <v>5</v>
      </c>
      <c r="O29">
        <f t="shared" si="2"/>
        <v>19792.033717615697</v>
      </c>
      <c r="U29" t="s">
        <v>74</v>
      </c>
    </row>
    <row r="30" spans="1:30" x14ac:dyDescent="0.2">
      <c r="A30" s="1">
        <v>45853</v>
      </c>
      <c r="B30">
        <v>42</v>
      </c>
      <c r="C30" t="s">
        <v>28</v>
      </c>
      <c r="D30">
        <v>0</v>
      </c>
      <c r="E30">
        <v>0</v>
      </c>
      <c r="F30">
        <f t="shared" si="8"/>
        <v>100</v>
      </c>
      <c r="G30">
        <v>0</v>
      </c>
      <c r="H30">
        <v>0</v>
      </c>
      <c r="I30">
        <f t="shared" si="9"/>
        <v>100</v>
      </c>
      <c r="J30">
        <v>2</v>
      </c>
      <c r="K30">
        <v>2</v>
      </c>
      <c r="L30">
        <v>29</v>
      </c>
      <c r="M30">
        <v>34</v>
      </c>
      <c r="N30">
        <v>9</v>
      </c>
      <c r="O30">
        <f t="shared" si="2"/>
        <v>18585.662138637214</v>
      </c>
      <c r="U30" t="s">
        <v>75</v>
      </c>
      <c r="V30" t="s">
        <v>76</v>
      </c>
      <c r="W30" t="s">
        <v>80</v>
      </c>
      <c r="X30" t="s">
        <v>81</v>
      </c>
    </row>
    <row r="31" spans="1:30" x14ac:dyDescent="0.2">
      <c r="A31" s="1">
        <v>45856</v>
      </c>
      <c r="B31">
        <v>60</v>
      </c>
      <c r="C31" t="s">
        <v>27</v>
      </c>
      <c r="D31">
        <v>0</v>
      </c>
      <c r="E31">
        <v>15</v>
      </c>
      <c r="F31">
        <f t="shared" si="8"/>
        <v>85</v>
      </c>
      <c r="G31">
        <v>0</v>
      </c>
      <c r="H31">
        <v>15</v>
      </c>
      <c r="I31">
        <f t="shared" si="9"/>
        <v>85</v>
      </c>
      <c r="J31">
        <v>0</v>
      </c>
      <c r="K31">
        <v>0</v>
      </c>
      <c r="O31">
        <f t="shared" si="2"/>
        <v>0</v>
      </c>
      <c r="U31">
        <f>AVERAGE(W11,W5,W6,W8,W9,W13,W14,W15)</f>
        <v>1.125</v>
      </c>
      <c r="V31">
        <f>AVERAGE(AF4,AF5,AF6,AF7,AF8,AF9,AF10,AF11)</f>
        <v>43784.638612468741</v>
      </c>
      <c r="W31">
        <f>_xlfn.STDEV.P(P4,P6,P8,P10,P12,P15,P17,P21)</f>
        <v>38266.867435218679</v>
      </c>
      <c r="X31">
        <f>W31/SQRT(8)</f>
        <v>13529.380729104896</v>
      </c>
    </row>
    <row r="32" spans="1:30" x14ac:dyDescent="0.2">
      <c r="A32" s="1">
        <v>45856</v>
      </c>
      <c r="B32">
        <v>60</v>
      </c>
      <c r="C32" t="s">
        <v>28</v>
      </c>
      <c r="D32">
        <v>0</v>
      </c>
      <c r="E32">
        <v>15</v>
      </c>
      <c r="F32">
        <f t="shared" si="8"/>
        <v>85</v>
      </c>
      <c r="G32">
        <v>0</v>
      </c>
      <c r="H32">
        <v>15</v>
      </c>
      <c r="I32">
        <f t="shared" si="9"/>
        <v>85</v>
      </c>
      <c r="J32">
        <v>2</v>
      </c>
      <c r="K32">
        <v>1</v>
      </c>
      <c r="L32">
        <v>46</v>
      </c>
      <c r="M32">
        <v>44</v>
      </c>
      <c r="N32">
        <v>5</v>
      </c>
      <c r="O32">
        <f t="shared" si="2"/>
        <v>21195.278436219134</v>
      </c>
    </row>
    <row r="33" spans="1:15" x14ac:dyDescent="0.2">
      <c r="A33" s="1">
        <v>45856</v>
      </c>
      <c r="B33">
        <v>60</v>
      </c>
      <c r="C33" t="s">
        <v>28</v>
      </c>
      <c r="D33">
        <v>0</v>
      </c>
      <c r="E33">
        <v>15</v>
      </c>
      <c r="F33">
        <f t="shared" si="8"/>
        <v>85</v>
      </c>
      <c r="G33">
        <v>0</v>
      </c>
      <c r="H33">
        <v>15</v>
      </c>
      <c r="I33">
        <f t="shared" si="9"/>
        <v>85</v>
      </c>
      <c r="J33">
        <v>2</v>
      </c>
      <c r="K33">
        <v>2</v>
      </c>
      <c r="L33">
        <v>56</v>
      </c>
      <c r="M33">
        <v>57</v>
      </c>
      <c r="N33">
        <v>4</v>
      </c>
      <c r="O33">
        <f t="shared" si="2"/>
        <v>26741.236667356312</v>
      </c>
    </row>
    <row r="34" spans="1:15" x14ac:dyDescent="0.2">
      <c r="A34" s="1">
        <v>45856</v>
      </c>
      <c r="B34">
        <v>52</v>
      </c>
      <c r="C34" t="s">
        <v>27</v>
      </c>
      <c r="D34">
        <v>5</v>
      </c>
      <c r="E34">
        <v>20</v>
      </c>
      <c r="F34">
        <f t="shared" si="8"/>
        <v>75</v>
      </c>
      <c r="G34">
        <v>5</v>
      </c>
      <c r="H34">
        <v>20</v>
      </c>
      <c r="I34">
        <f t="shared" si="9"/>
        <v>75</v>
      </c>
      <c r="J34">
        <v>0</v>
      </c>
      <c r="K34">
        <v>0</v>
      </c>
      <c r="O34">
        <f t="shared" si="2"/>
        <v>0</v>
      </c>
    </row>
    <row r="35" spans="1:15" x14ac:dyDescent="0.2">
      <c r="A35" s="1">
        <v>45856</v>
      </c>
      <c r="B35">
        <v>52</v>
      </c>
      <c r="C35" t="s">
        <v>28</v>
      </c>
      <c r="D35">
        <v>5</v>
      </c>
      <c r="E35">
        <v>20</v>
      </c>
      <c r="F35">
        <f t="shared" si="8"/>
        <v>75</v>
      </c>
      <c r="G35">
        <v>5</v>
      </c>
      <c r="H35">
        <v>20</v>
      </c>
      <c r="I35">
        <f t="shared" si="9"/>
        <v>75</v>
      </c>
      <c r="J35">
        <v>1</v>
      </c>
      <c r="K35">
        <v>1</v>
      </c>
      <c r="L35">
        <v>30</v>
      </c>
      <c r="M35">
        <v>35</v>
      </c>
      <c r="N35">
        <v>6</v>
      </c>
      <c r="O35">
        <f t="shared" si="2"/>
        <v>13194.689145077131</v>
      </c>
    </row>
    <row r="36" spans="1:15" x14ac:dyDescent="0.2">
      <c r="A36" s="1">
        <v>45856</v>
      </c>
      <c r="B36">
        <v>42</v>
      </c>
      <c r="C36" t="s">
        <v>27</v>
      </c>
      <c r="D36">
        <v>5</v>
      </c>
      <c r="E36">
        <v>15</v>
      </c>
      <c r="F36">
        <f t="shared" si="8"/>
        <v>80</v>
      </c>
      <c r="G36">
        <v>5</v>
      </c>
      <c r="H36">
        <v>15</v>
      </c>
      <c r="I36">
        <f t="shared" si="9"/>
        <v>80</v>
      </c>
      <c r="J36">
        <v>2</v>
      </c>
      <c r="K36">
        <v>1</v>
      </c>
      <c r="L36">
        <v>40</v>
      </c>
      <c r="M36">
        <v>40</v>
      </c>
      <c r="N36">
        <v>10</v>
      </c>
      <c r="O36">
        <f t="shared" si="2"/>
        <v>33510.32163829112</v>
      </c>
    </row>
    <row r="37" spans="1:15" x14ac:dyDescent="0.2">
      <c r="A37" s="1">
        <v>45856</v>
      </c>
      <c r="B37">
        <v>42</v>
      </c>
      <c r="C37" t="s">
        <v>27</v>
      </c>
      <c r="D37">
        <v>5</v>
      </c>
      <c r="E37">
        <v>15</v>
      </c>
      <c r="F37">
        <f t="shared" si="8"/>
        <v>80</v>
      </c>
      <c r="G37">
        <v>5</v>
      </c>
      <c r="H37">
        <v>15</v>
      </c>
      <c r="I37">
        <f t="shared" si="9"/>
        <v>80</v>
      </c>
      <c r="J37">
        <v>2</v>
      </c>
      <c r="K37">
        <v>2</v>
      </c>
      <c r="L37">
        <v>37</v>
      </c>
      <c r="M37">
        <v>50</v>
      </c>
      <c r="N37">
        <v>10</v>
      </c>
      <c r="O37">
        <f t="shared" si="2"/>
        <v>38746.309394274111</v>
      </c>
    </row>
    <row r="38" spans="1:15" x14ac:dyDescent="0.2">
      <c r="A38" s="1">
        <v>45856</v>
      </c>
      <c r="B38">
        <v>42</v>
      </c>
      <c r="C38" t="s">
        <v>28</v>
      </c>
      <c r="D38">
        <v>2</v>
      </c>
      <c r="E38">
        <v>20</v>
      </c>
      <c r="F38">
        <f t="shared" si="8"/>
        <v>78</v>
      </c>
      <c r="G38">
        <v>2</v>
      </c>
      <c r="H38">
        <v>20</v>
      </c>
      <c r="I38">
        <f t="shared" si="9"/>
        <v>78</v>
      </c>
      <c r="J38">
        <v>1</v>
      </c>
      <c r="K38">
        <v>1</v>
      </c>
      <c r="L38">
        <v>36</v>
      </c>
      <c r="M38">
        <v>39</v>
      </c>
      <c r="N38">
        <v>4</v>
      </c>
      <c r="O38">
        <f t="shared" si="2"/>
        <v>11762.122895040186</v>
      </c>
    </row>
    <row r="39" spans="1:15" x14ac:dyDescent="0.2">
      <c r="A39" s="1">
        <v>45856</v>
      </c>
      <c r="B39">
        <v>36</v>
      </c>
      <c r="C39" t="s">
        <v>27</v>
      </c>
      <c r="D39">
        <v>0</v>
      </c>
      <c r="E39">
        <v>5</v>
      </c>
      <c r="F39">
        <f t="shared" si="8"/>
        <v>95</v>
      </c>
      <c r="G39">
        <v>0</v>
      </c>
      <c r="H39">
        <v>5</v>
      </c>
      <c r="I39">
        <f t="shared" si="9"/>
        <v>95</v>
      </c>
      <c r="J39">
        <v>3</v>
      </c>
      <c r="K39">
        <v>1</v>
      </c>
      <c r="L39">
        <v>24</v>
      </c>
      <c r="M39">
        <v>23</v>
      </c>
      <c r="N39">
        <v>7</v>
      </c>
      <c r="O39">
        <f t="shared" si="2"/>
        <v>8092.7426756473069</v>
      </c>
    </row>
    <row r="40" spans="1:15" x14ac:dyDescent="0.2">
      <c r="A40" s="1">
        <v>45856</v>
      </c>
      <c r="B40">
        <v>36</v>
      </c>
      <c r="C40" t="s">
        <v>27</v>
      </c>
      <c r="D40">
        <v>0</v>
      </c>
      <c r="E40">
        <v>5</v>
      </c>
      <c r="F40">
        <f t="shared" si="8"/>
        <v>95</v>
      </c>
      <c r="G40">
        <v>0</v>
      </c>
      <c r="H40">
        <v>5</v>
      </c>
      <c r="I40">
        <f t="shared" si="9"/>
        <v>95</v>
      </c>
      <c r="J40">
        <v>3</v>
      </c>
      <c r="K40">
        <v>2</v>
      </c>
      <c r="L40">
        <v>33</v>
      </c>
      <c r="M40">
        <v>36</v>
      </c>
      <c r="N40">
        <v>8</v>
      </c>
      <c r="O40">
        <f t="shared" si="2"/>
        <v>19905.131053144931</v>
      </c>
    </row>
    <row r="41" spans="1:15" x14ac:dyDescent="0.2">
      <c r="A41" s="1">
        <v>45856</v>
      </c>
      <c r="B41">
        <v>36</v>
      </c>
      <c r="C41" t="s">
        <v>27</v>
      </c>
      <c r="D41">
        <v>0</v>
      </c>
      <c r="E41">
        <v>5</v>
      </c>
      <c r="F41">
        <f t="shared" si="8"/>
        <v>95</v>
      </c>
      <c r="G41">
        <v>0</v>
      </c>
      <c r="H41">
        <v>5</v>
      </c>
      <c r="I41">
        <f t="shared" si="9"/>
        <v>95</v>
      </c>
      <c r="J41">
        <v>3</v>
      </c>
      <c r="K41">
        <v>3</v>
      </c>
      <c r="L41">
        <v>33</v>
      </c>
      <c r="M41">
        <v>42</v>
      </c>
      <c r="N41">
        <v>8</v>
      </c>
      <c r="O41">
        <f t="shared" si="2"/>
        <v>23222.652895335752</v>
      </c>
    </row>
    <row r="42" spans="1:15" x14ac:dyDescent="0.2">
      <c r="A42" s="1">
        <v>45856</v>
      </c>
      <c r="B42">
        <v>36</v>
      </c>
      <c r="C42" t="s">
        <v>28</v>
      </c>
      <c r="D42">
        <v>0</v>
      </c>
      <c r="E42">
        <v>10</v>
      </c>
      <c r="F42">
        <f t="shared" si="8"/>
        <v>90</v>
      </c>
      <c r="G42">
        <v>0</v>
      </c>
      <c r="H42">
        <v>10</v>
      </c>
      <c r="I42">
        <f t="shared" si="9"/>
        <v>90</v>
      </c>
      <c r="J42">
        <v>1</v>
      </c>
      <c r="K42">
        <v>1</v>
      </c>
      <c r="L42">
        <v>41</v>
      </c>
      <c r="M42">
        <v>44</v>
      </c>
      <c r="N42">
        <v>7</v>
      </c>
      <c r="O42">
        <f t="shared" si="2"/>
        <v>26448.021353021271</v>
      </c>
    </row>
    <row r="43" spans="1:15" x14ac:dyDescent="0.2">
      <c r="A43" s="1">
        <v>45856</v>
      </c>
      <c r="B43">
        <v>28</v>
      </c>
      <c r="C43" t="s">
        <v>27</v>
      </c>
      <c r="D43">
        <v>5</v>
      </c>
      <c r="E43">
        <v>30</v>
      </c>
      <c r="F43">
        <f t="shared" si="8"/>
        <v>65</v>
      </c>
      <c r="G43">
        <v>5</v>
      </c>
      <c r="H43">
        <v>30</v>
      </c>
      <c r="I43">
        <f t="shared" si="9"/>
        <v>65</v>
      </c>
      <c r="J43">
        <v>0</v>
      </c>
      <c r="K43">
        <v>0</v>
      </c>
      <c r="O43">
        <f t="shared" si="2"/>
        <v>0</v>
      </c>
    </row>
    <row r="44" spans="1:15" x14ac:dyDescent="0.2">
      <c r="A44" s="1">
        <v>45856</v>
      </c>
      <c r="B44">
        <v>28</v>
      </c>
      <c r="C44" t="s">
        <v>28</v>
      </c>
      <c r="D44">
        <v>0</v>
      </c>
      <c r="E44">
        <v>15</v>
      </c>
      <c r="F44">
        <f t="shared" si="8"/>
        <v>85</v>
      </c>
      <c r="G44">
        <v>0</v>
      </c>
      <c r="H44">
        <v>15</v>
      </c>
      <c r="I44">
        <f t="shared" si="9"/>
        <v>85</v>
      </c>
      <c r="J44">
        <v>1</v>
      </c>
      <c r="K44">
        <v>1</v>
      </c>
      <c r="L44">
        <v>60</v>
      </c>
      <c r="M44">
        <v>46</v>
      </c>
      <c r="N44">
        <v>5</v>
      </c>
      <c r="O44">
        <f t="shared" si="2"/>
        <v>28902.652413026095</v>
      </c>
    </row>
    <row r="45" spans="1:15" x14ac:dyDescent="0.2">
      <c r="A45" s="1">
        <v>45856</v>
      </c>
      <c r="B45">
        <v>23</v>
      </c>
      <c r="C45" t="s">
        <v>27</v>
      </c>
      <c r="D45">
        <v>10</v>
      </c>
      <c r="E45">
        <v>20</v>
      </c>
      <c r="F45">
        <f t="shared" si="8"/>
        <v>70</v>
      </c>
      <c r="G45">
        <v>10</v>
      </c>
      <c r="H45">
        <v>20</v>
      </c>
      <c r="I45">
        <f t="shared" si="9"/>
        <v>70</v>
      </c>
      <c r="J45">
        <v>1</v>
      </c>
      <c r="K45">
        <v>1</v>
      </c>
      <c r="L45">
        <v>35</v>
      </c>
      <c r="M45">
        <v>34</v>
      </c>
      <c r="N45">
        <v>5</v>
      </c>
      <c r="O45">
        <f t="shared" si="2"/>
        <v>12461.650859239511</v>
      </c>
    </row>
    <row r="46" spans="1:15" x14ac:dyDescent="0.2">
      <c r="A46" s="1">
        <v>45856</v>
      </c>
      <c r="B46">
        <v>23</v>
      </c>
      <c r="C46" t="s">
        <v>28</v>
      </c>
      <c r="D46">
        <v>30</v>
      </c>
      <c r="E46">
        <v>50</v>
      </c>
      <c r="F46">
        <f t="shared" si="8"/>
        <v>20</v>
      </c>
      <c r="G46">
        <v>30</v>
      </c>
      <c r="H46">
        <v>50</v>
      </c>
      <c r="I46">
        <f t="shared" si="9"/>
        <v>20</v>
      </c>
      <c r="J46">
        <v>0</v>
      </c>
      <c r="K46">
        <v>0</v>
      </c>
      <c r="O46">
        <f t="shared" si="2"/>
        <v>0</v>
      </c>
    </row>
    <row r="47" spans="1:15" x14ac:dyDescent="0.2">
      <c r="A47" s="1">
        <v>45856</v>
      </c>
      <c r="B47">
        <v>10</v>
      </c>
      <c r="C47" t="s">
        <v>27</v>
      </c>
      <c r="D47">
        <v>20</v>
      </c>
      <c r="E47">
        <v>60</v>
      </c>
      <c r="F47">
        <f t="shared" si="8"/>
        <v>20</v>
      </c>
      <c r="G47">
        <v>5</v>
      </c>
      <c r="H47">
        <v>5</v>
      </c>
      <c r="I47">
        <f t="shared" si="9"/>
        <v>90</v>
      </c>
      <c r="J47">
        <v>2</v>
      </c>
      <c r="K47">
        <v>1</v>
      </c>
      <c r="L47">
        <v>42</v>
      </c>
      <c r="M47">
        <v>40</v>
      </c>
      <c r="N47">
        <v>9</v>
      </c>
      <c r="O47">
        <f t="shared" si="2"/>
        <v>31667.253948185116</v>
      </c>
    </row>
    <row r="48" spans="1:15" x14ac:dyDescent="0.2">
      <c r="A48" s="1">
        <v>45856</v>
      </c>
      <c r="B48">
        <v>10</v>
      </c>
      <c r="C48" t="s">
        <v>27</v>
      </c>
      <c r="D48">
        <v>20</v>
      </c>
      <c r="E48">
        <v>60</v>
      </c>
      <c r="F48">
        <f t="shared" si="8"/>
        <v>20</v>
      </c>
      <c r="G48">
        <v>5</v>
      </c>
      <c r="H48">
        <v>5</v>
      </c>
      <c r="I48">
        <f t="shared" si="9"/>
        <v>90</v>
      </c>
      <c r="J48">
        <v>2</v>
      </c>
      <c r="K48">
        <v>2</v>
      </c>
      <c r="L48">
        <v>41</v>
      </c>
      <c r="M48">
        <v>34</v>
      </c>
      <c r="N48">
        <v>4</v>
      </c>
      <c r="O48">
        <f t="shared" si="2"/>
        <v>11678.347090944457</v>
      </c>
    </row>
    <row r="49" spans="1:15" x14ac:dyDescent="0.2">
      <c r="A49" s="1">
        <v>45856</v>
      </c>
      <c r="B49">
        <v>10</v>
      </c>
      <c r="C49" t="s">
        <v>28</v>
      </c>
      <c r="D49">
        <v>25</v>
      </c>
      <c r="E49">
        <v>50</v>
      </c>
      <c r="F49">
        <f t="shared" si="8"/>
        <v>25</v>
      </c>
      <c r="G49">
        <v>0</v>
      </c>
      <c r="H49">
        <v>5</v>
      </c>
      <c r="I49">
        <f t="shared" si="9"/>
        <v>95</v>
      </c>
      <c r="J49">
        <v>1</v>
      </c>
      <c r="K49">
        <v>1</v>
      </c>
      <c r="L49">
        <v>30</v>
      </c>
      <c r="M49">
        <v>36</v>
      </c>
      <c r="N49">
        <v>8</v>
      </c>
      <c r="O49">
        <f t="shared" si="2"/>
        <v>18095.573684677209</v>
      </c>
    </row>
    <row r="50" spans="1:15" x14ac:dyDescent="0.2">
      <c r="A50" s="1">
        <v>45856</v>
      </c>
      <c r="B50">
        <v>6</v>
      </c>
      <c r="C50" t="s">
        <v>27</v>
      </c>
      <c r="D50">
        <v>40</v>
      </c>
      <c r="E50">
        <v>30</v>
      </c>
      <c r="F50">
        <f t="shared" si="8"/>
        <v>30</v>
      </c>
      <c r="G50">
        <v>5</v>
      </c>
      <c r="H50">
        <v>10</v>
      </c>
      <c r="I50">
        <f t="shared" si="9"/>
        <v>85</v>
      </c>
      <c r="J50">
        <v>1</v>
      </c>
      <c r="K50">
        <v>1</v>
      </c>
      <c r="L50">
        <v>38</v>
      </c>
      <c r="M50">
        <v>39</v>
      </c>
      <c r="N50">
        <v>6</v>
      </c>
      <c r="O50">
        <f t="shared" si="2"/>
        <v>18623.361250480295</v>
      </c>
    </row>
    <row r="51" spans="1:15" x14ac:dyDescent="0.2">
      <c r="A51" s="1">
        <v>45856</v>
      </c>
      <c r="B51">
        <v>6</v>
      </c>
      <c r="C51" t="s">
        <v>28</v>
      </c>
      <c r="D51">
        <v>30</v>
      </c>
      <c r="E51">
        <v>40</v>
      </c>
      <c r="F51">
        <f t="shared" si="8"/>
        <v>30</v>
      </c>
      <c r="G51">
        <v>5</v>
      </c>
      <c r="H51">
        <v>5</v>
      </c>
      <c r="I51">
        <f t="shared" si="9"/>
        <v>90</v>
      </c>
      <c r="J51">
        <v>2</v>
      </c>
      <c r="K51">
        <v>1</v>
      </c>
      <c r="L51">
        <v>36</v>
      </c>
      <c r="M51">
        <v>39</v>
      </c>
      <c r="N51">
        <v>10</v>
      </c>
      <c r="O51">
        <f t="shared" si="2"/>
        <v>29405.307237600464</v>
      </c>
    </row>
    <row r="52" spans="1:15" x14ac:dyDescent="0.2">
      <c r="A52" s="1">
        <v>45856</v>
      </c>
      <c r="B52">
        <v>6</v>
      </c>
      <c r="C52" t="s">
        <v>28</v>
      </c>
      <c r="D52">
        <v>30</v>
      </c>
      <c r="E52">
        <v>40</v>
      </c>
      <c r="F52">
        <f t="shared" si="8"/>
        <v>30</v>
      </c>
      <c r="G52">
        <v>5</v>
      </c>
      <c r="H52">
        <v>5</v>
      </c>
      <c r="I52">
        <f t="shared" si="9"/>
        <v>90</v>
      </c>
      <c r="J52">
        <v>2</v>
      </c>
      <c r="K52">
        <v>2</v>
      </c>
      <c r="L52">
        <v>70</v>
      </c>
      <c r="M52">
        <v>92</v>
      </c>
      <c r="N52">
        <v>12</v>
      </c>
      <c r="O52">
        <f t="shared" si="2"/>
        <v>161854.85351294614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F557-E422-418C-9739-90870C95108E}">
  <dimension ref="A1:T16"/>
  <sheetViews>
    <sheetView workbookViewId="0">
      <selection activeCell="F25" sqref="F25"/>
    </sheetView>
  </sheetViews>
  <sheetFormatPr baseColWidth="10" defaultColWidth="8.83203125" defaultRowHeight="15" x14ac:dyDescent="0.2"/>
  <cols>
    <col min="3" max="3" width="4.6640625" bestFit="1" customWidth="1"/>
    <col min="4" max="4" width="7.83203125" bestFit="1" customWidth="1"/>
    <col min="5" max="5" width="8.6640625" bestFit="1" customWidth="1"/>
    <col min="6" max="6" width="10.83203125" bestFit="1" customWidth="1"/>
    <col min="7" max="7" width="11.83203125" bestFit="1" customWidth="1"/>
    <col min="8" max="8" width="12.83203125" bestFit="1" customWidth="1"/>
    <col min="9" max="9" width="12.6640625" style="2" bestFit="1" customWidth="1"/>
    <col min="10" max="10" width="9.1640625" bestFit="1" customWidth="1"/>
  </cols>
  <sheetData>
    <row r="1" spans="1:20" x14ac:dyDescent="0.2">
      <c r="A1" t="s">
        <v>55</v>
      </c>
    </row>
    <row r="2" spans="1:20" x14ac:dyDescent="0.2">
      <c r="A2" t="s">
        <v>56</v>
      </c>
    </row>
    <row r="3" spans="1:20" x14ac:dyDescent="0.2">
      <c r="A3" t="s">
        <v>4</v>
      </c>
      <c r="B3" t="s">
        <v>10</v>
      </c>
      <c r="C3" t="s">
        <v>7</v>
      </c>
      <c r="D3" t="s">
        <v>11</v>
      </c>
      <c r="E3" t="s">
        <v>12</v>
      </c>
      <c r="F3" t="s">
        <v>13</v>
      </c>
      <c r="G3" t="s">
        <v>62</v>
      </c>
      <c r="H3" t="s">
        <v>61</v>
      </c>
      <c r="I3" s="2" t="s">
        <v>63</v>
      </c>
      <c r="J3" t="s">
        <v>4</v>
      </c>
      <c r="K3" t="s">
        <v>10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12</v>
      </c>
      <c r="S3" t="s">
        <v>20</v>
      </c>
      <c r="T3" t="s">
        <v>21</v>
      </c>
    </row>
    <row r="4" spans="1:20" x14ac:dyDescent="0.2">
      <c r="A4" s="1"/>
      <c r="B4" t="s">
        <v>57</v>
      </c>
      <c r="J4" s="1">
        <v>45845</v>
      </c>
      <c r="K4" t="s">
        <v>57</v>
      </c>
      <c r="L4">
        <v>1</v>
      </c>
      <c r="M4">
        <v>40</v>
      </c>
      <c r="N4">
        <v>35</v>
      </c>
      <c r="O4">
        <v>9</v>
      </c>
      <c r="P4" t="s">
        <v>43</v>
      </c>
      <c r="R4">
        <v>0</v>
      </c>
    </row>
    <row r="5" spans="1:20" x14ac:dyDescent="0.2">
      <c r="A5" s="1"/>
      <c r="B5" t="s">
        <v>58</v>
      </c>
      <c r="J5" s="1">
        <v>45845</v>
      </c>
      <c r="K5" t="s">
        <v>58</v>
      </c>
      <c r="L5">
        <v>1</v>
      </c>
      <c r="M5">
        <v>45</v>
      </c>
      <c r="N5">
        <v>48</v>
      </c>
      <c r="O5">
        <v>8</v>
      </c>
      <c r="P5">
        <v>128</v>
      </c>
      <c r="Q5">
        <v>19</v>
      </c>
      <c r="R5">
        <v>0</v>
      </c>
    </row>
    <row r="6" spans="1:20" x14ac:dyDescent="0.2">
      <c r="A6" s="1"/>
      <c r="B6" t="s">
        <v>59</v>
      </c>
      <c r="J6" s="1">
        <v>45845</v>
      </c>
      <c r="K6" t="s">
        <v>58</v>
      </c>
      <c r="L6">
        <v>2</v>
      </c>
      <c r="M6">
        <v>40</v>
      </c>
      <c r="N6">
        <v>53</v>
      </c>
      <c r="O6">
        <v>7</v>
      </c>
      <c r="P6">
        <v>55</v>
      </c>
      <c r="Q6">
        <v>64</v>
      </c>
      <c r="R6">
        <v>0</v>
      </c>
    </row>
    <row r="7" spans="1:20" x14ac:dyDescent="0.2">
      <c r="B7" t="s">
        <v>60</v>
      </c>
      <c r="J7" s="1">
        <v>45845</v>
      </c>
      <c r="K7" t="s">
        <v>59</v>
      </c>
      <c r="L7">
        <v>1</v>
      </c>
      <c r="M7">
        <v>44</v>
      </c>
      <c r="N7">
        <v>57</v>
      </c>
      <c r="O7">
        <v>7</v>
      </c>
      <c r="P7" t="s">
        <v>37</v>
      </c>
      <c r="Q7" t="s">
        <v>37</v>
      </c>
    </row>
    <row r="8" spans="1:20" x14ac:dyDescent="0.2">
      <c r="J8" s="1">
        <v>45856</v>
      </c>
      <c r="K8" t="s">
        <v>58</v>
      </c>
      <c r="L8">
        <v>1</v>
      </c>
      <c r="M8">
        <v>49</v>
      </c>
      <c r="N8">
        <v>50</v>
      </c>
      <c r="O8">
        <v>6</v>
      </c>
      <c r="P8">
        <v>64</v>
      </c>
      <c r="Q8">
        <v>53</v>
      </c>
      <c r="R8">
        <v>2</v>
      </c>
    </row>
    <row r="9" spans="1:20" x14ac:dyDescent="0.2">
      <c r="J9" s="1">
        <v>45856</v>
      </c>
      <c r="K9" t="s">
        <v>59</v>
      </c>
      <c r="L9">
        <v>2</v>
      </c>
      <c r="M9">
        <v>45</v>
      </c>
      <c r="N9">
        <v>35</v>
      </c>
      <c r="O9">
        <v>5</v>
      </c>
      <c r="P9">
        <v>117</v>
      </c>
      <c r="Q9">
        <v>85</v>
      </c>
      <c r="R9">
        <v>0</v>
      </c>
    </row>
    <row r="10" spans="1:20" x14ac:dyDescent="0.2">
      <c r="J10" s="1">
        <v>45856</v>
      </c>
      <c r="K10" t="s">
        <v>57</v>
      </c>
      <c r="L10">
        <v>1</v>
      </c>
      <c r="M10">
        <v>63</v>
      </c>
      <c r="N10">
        <v>57</v>
      </c>
      <c r="O10">
        <v>10</v>
      </c>
      <c r="P10" t="s">
        <v>37</v>
      </c>
      <c r="Q10" t="s">
        <v>37</v>
      </c>
    </row>
    <row r="11" spans="1:20" x14ac:dyDescent="0.2">
      <c r="J11" s="1">
        <v>45856</v>
      </c>
      <c r="K11" t="s">
        <v>57</v>
      </c>
      <c r="L11">
        <v>2</v>
      </c>
      <c r="M11">
        <v>43</v>
      </c>
      <c r="N11">
        <v>42</v>
      </c>
      <c r="O11">
        <v>11</v>
      </c>
      <c r="P11" t="s">
        <v>37</v>
      </c>
      <c r="Q11" t="s">
        <v>37</v>
      </c>
    </row>
    <row r="12" spans="1:20" x14ac:dyDescent="0.2">
      <c r="J12" s="1">
        <v>45857</v>
      </c>
      <c r="K12" t="s">
        <v>58</v>
      </c>
      <c r="L12">
        <v>1</v>
      </c>
      <c r="M12">
        <v>50</v>
      </c>
      <c r="N12">
        <v>70</v>
      </c>
      <c r="O12">
        <v>6</v>
      </c>
      <c r="P12">
        <v>132</v>
      </c>
      <c r="Q12">
        <v>20</v>
      </c>
      <c r="R12">
        <v>0</v>
      </c>
    </row>
    <row r="13" spans="1:20" x14ac:dyDescent="0.2">
      <c r="J13" s="1">
        <v>45857</v>
      </c>
      <c r="K13" t="s">
        <v>58</v>
      </c>
      <c r="L13">
        <v>2</v>
      </c>
      <c r="M13">
        <v>48</v>
      </c>
      <c r="N13">
        <v>48</v>
      </c>
      <c r="O13">
        <v>6</v>
      </c>
      <c r="P13">
        <v>48</v>
      </c>
      <c r="Q13">
        <v>59</v>
      </c>
      <c r="R13">
        <v>5</v>
      </c>
    </row>
    <row r="14" spans="1:20" x14ac:dyDescent="0.2">
      <c r="J14" s="1">
        <v>45857</v>
      </c>
      <c r="K14" t="s">
        <v>60</v>
      </c>
      <c r="L14">
        <v>1</v>
      </c>
      <c r="M14">
        <v>58</v>
      </c>
      <c r="N14">
        <v>57</v>
      </c>
      <c r="O14">
        <v>3</v>
      </c>
      <c r="P14">
        <v>80</v>
      </c>
      <c r="Q14">
        <v>81</v>
      </c>
      <c r="R14">
        <v>20</v>
      </c>
    </row>
    <row r="15" spans="1:20" x14ac:dyDescent="0.2">
      <c r="J15" s="1">
        <v>45858</v>
      </c>
      <c r="K15" t="s">
        <v>58</v>
      </c>
      <c r="L15">
        <v>1</v>
      </c>
      <c r="M15">
        <v>49</v>
      </c>
      <c r="N15">
        <v>51</v>
      </c>
      <c r="O15">
        <v>6</v>
      </c>
      <c r="P15">
        <v>127</v>
      </c>
      <c r="Q15">
        <v>21</v>
      </c>
      <c r="R15">
        <v>0</v>
      </c>
    </row>
    <row r="16" spans="1:20" x14ac:dyDescent="0.2">
      <c r="J16" s="1">
        <v>45858</v>
      </c>
      <c r="K16" t="s">
        <v>58</v>
      </c>
      <c r="L16">
        <v>2</v>
      </c>
      <c r="M16">
        <v>48</v>
      </c>
      <c r="N16">
        <v>49</v>
      </c>
      <c r="O16">
        <v>6</v>
      </c>
      <c r="P16">
        <v>47</v>
      </c>
      <c r="Q16">
        <v>59</v>
      </c>
      <c r="R1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C100-FC39-4414-8C4F-08A60EEA519C}">
  <dimension ref="A1:A3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 t="s">
        <v>64</v>
      </c>
    </row>
    <row r="2" spans="1:1" x14ac:dyDescent="0.2">
      <c r="A2" t="s">
        <v>65</v>
      </c>
    </row>
    <row r="3" spans="1:1" x14ac:dyDescent="0.2">
      <c r="A3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62DA-5A7C-4BB6-9270-4AAB1BDAF8AF}">
  <dimension ref="A1"/>
  <sheetViews>
    <sheetView workbookViewId="0">
      <selection activeCell="E7" sqref="E7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32D7-F449-4617-A6D5-E1DE34100D95}">
  <dimension ref="A1:AC202"/>
  <sheetViews>
    <sheetView topLeftCell="A10" zoomScale="110" zoomScaleNormal="100" workbookViewId="0">
      <pane ySplit="1" topLeftCell="A160" activePane="bottomLeft" state="frozen"/>
      <selection activeCell="A10" sqref="A10"/>
      <selection pane="bottomLeft" activeCell="C11" sqref="C11:C202"/>
    </sheetView>
  </sheetViews>
  <sheetFormatPr baseColWidth="10" defaultColWidth="8.83203125" defaultRowHeight="15" x14ac:dyDescent="0.2"/>
  <cols>
    <col min="1" max="1" width="10" customWidth="1"/>
  </cols>
  <sheetData>
    <row r="1" spans="1:29" hidden="1" x14ac:dyDescent="0.2">
      <c r="A1" t="s">
        <v>101</v>
      </c>
    </row>
    <row r="2" spans="1:29" hidden="1" x14ac:dyDescent="0.2">
      <c r="A2" t="s">
        <v>154</v>
      </c>
    </row>
    <row r="3" spans="1:29" hidden="1" x14ac:dyDescent="0.2">
      <c r="A3" t="s">
        <v>104</v>
      </c>
      <c r="L3" t="s">
        <v>143</v>
      </c>
    </row>
    <row r="4" spans="1:29" hidden="1" x14ac:dyDescent="0.2">
      <c r="A4" t="s">
        <v>107</v>
      </c>
    </row>
    <row r="5" spans="1:29" hidden="1" x14ac:dyDescent="0.2">
      <c r="A5" t="s">
        <v>108</v>
      </c>
    </row>
    <row r="6" spans="1:29" hidden="1" x14ac:dyDescent="0.2">
      <c r="A6" t="s">
        <v>142</v>
      </c>
    </row>
    <row r="7" spans="1:29" hidden="1" x14ac:dyDescent="0.2">
      <c r="A7" t="s">
        <v>155</v>
      </c>
    </row>
    <row r="8" spans="1:29" hidden="1" x14ac:dyDescent="0.2">
      <c r="A8" t="s">
        <v>156</v>
      </c>
    </row>
    <row r="9" spans="1:29" hidden="1" x14ac:dyDescent="0.2"/>
    <row r="10" spans="1:29" x14ac:dyDescent="0.2">
      <c r="A10" t="s">
        <v>4</v>
      </c>
      <c r="B10" t="s">
        <v>10</v>
      </c>
      <c r="C10" t="s">
        <v>7</v>
      </c>
      <c r="D10" t="s">
        <v>13</v>
      </c>
      <c r="E10" t="s">
        <v>157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118</v>
      </c>
      <c r="P10" t="s">
        <v>119</v>
      </c>
      <c r="Q10" t="s">
        <v>120</v>
      </c>
      <c r="R10" t="s">
        <v>121</v>
      </c>
      <c r="S10" t="s">
        <v>122</v>
      </c>
      <c r="T10" t="s">
        <v>123</v>
      </c>
      <c r="U10" t="s">
        <v>124</v>
      </c>
      <c r="V10" t="s">
        <v>125</v>
      </c>
      <c r="W10" t="s">
        <v>127</v>
      </c>
      <c r="X10" t="s">
        <v>128</v>
      </c>
      <c r="Y10" t="s">
        <v>129</v>
      </c>
      <c r="Z10" t="s">
        <v>130</v>
      </c>
      <c r="AA10" t="s">
        <v>131</v>
      </c>
      <c r="AC10" t="s">
        <v>21</v>
      </c>
    </row>
    <row r="11" spans="1:29" x14ac:dyDescent="0.2">
      <c r="A11" s="1">
        <v>45937</v>
      </c>
      <c r="B11">
        <v>1</v>
      </c>
      <c r="C11">
        <v>1</v>
      </c>
      <c r="D11">
        <v>3</v>
      </c>
      <c r="E11">
        <v>100</v>
      </c>
      <c r="F11">
        <v>10.8</v>
      </c>
      <c r="G11">
        <v>3</v>
      </c>
      <c r="H11">
        <v>3.5</v>
      </c>
      <c r="I11">
        <v>7.2</v>
      </c>
      <c r="J11">
        <v>6</v>
      </c>
      <c r="K11">
        <v>35</v>
      </c>
      <c r="L11">
        <v>8.4</v>
      </c>
      <c r="M11">
        <v>8.5</v>
      </c>
      <c r="N11">
        <v>4.0999999999999996</v>
      </c>
      <c r="O11">
        <v>4.0999999999999996</v>
      </c>
      <c r="P11">
        <v>5.5</v>
      </c>
      <c r="Q11">
        <v>6.7</v>
      </c>
      <c r="V11">
        <v>13</v>
      </c>
      <c r="W11">
        <v>6</v>
      </c>
      <c r="X11">
        <v>2</v>
      </c>
      <c r="Y11">
        <v>6</v>
      </c>
      <c r="Z11">
        <v>6</v>
      </c>
      <c r="AA11">
        <v>2</v>
      </c>
    </row>
    <row r="12" spans="1:29" x14ac:dyDescent="0.2">
      <c r="A12" s="1">
        <v>45937</v>
      </c>
      <c r="B12">
        <v>1</v>
      </c>
      <c r="C12">
        <v>2</v>
      </c>
      <c r="D12">
        <v>2</v>
      </c>
      <c r="E12">
        <v>80</v>
      </c>
      <c r="F12">
        <v>12.3</v>
      </c>
      <c r="G12">
        <v>3</v>
      </c>
      <c r="H12">
        <v>3.8000000000000003</v>
      </c>
      <c r="I12">
        <v>0</v>
      </c>
    </row>
    <row r="13" spans="1:29" x14ac:dyDescent="0.2">
      <c r="A13" s="1">
        <v>45937</v>
      </c>
      <c r="B13">
        <v>1</v>
      </c>
      <c r="C13">
        <v>3</v>
      </c>
      <c r="E13">
        <v>100</v>
      </c>
      <c r="F13">
        <v>7.9</v>
      </c>
      <c r="G13">
        <v>3.3000000000000003</v>
      </c>
      <c r="H13">
        <v>2.7</v>
      </c>
      <c r="I13">
        <v>6.1000000000000005</v>
      </c>
    </row>
    <row r="14" spans="1:29" x14ac:dyDescent="0.2">
      <c r="A14" s="1">
        <v>45937</v>
      </c>
      <c r="B14">
        <v>2</v>
      </c>
      <c r="C14">
        <v>1</v>
      </c>
      <c r="D14">
        <v>5</v>
      </c>
      <c r="E14">
        <v>80</v>
      </c>
      <c r="F14">
        <v>45.6</v>
      </c>
      <c r="G14">
        <v>9.5</v>
      </c>
      <c r="H14">
        <v>5.6000000000000005</v>
      </c>
      <c r="I14">
        <v>8.1</v>
      </c>
      <c r="J14">
        <v>34</v>
      </c>
      <c r="K14">
        <v>54</v>
      </c>
      <c r="L14">
        <v>5.2</v>
      </c>
      <c r="M14">
        <v>3.1</v>
      </c>
      <c r="N14">
        <v>3</v>
      </c>
      <c r="O14">
        <v>3.5</v>
      </c>
      <c r="P14">
        <v>5.5</v>
      </c>
      <c r="Q14">
        <v>5.7</v>
      </c>
      <c r="R14">
        <v>5.3</v>
      </c>
      <c r="S14">
        <v>6.7</v>
      </c>
      <c r="T14">
        <v>3.5</v>
      </c>
      <c r="U14">
        <v>2.6</v>
      </c>
      <c r="V14">
        <v>25</v>
      </c>
      <c r="W14">
        <v>5</v>
      </c>
      <c r="X14">
        <v>7</v>
      </c>
      <c r="Y14">
        <v>10</v>
      </c>
      <c r="Z14">
        <v>6</v>
      </c>
      <c r="AA14">
        <v>5</v>
      </c>
    </row>
    <row r="15" spans="1:29" x14ac:dyDescent="0.2">
      <c r="A15" s="1">
        <v>45937</v>
      </c>
      <c r="B15">
        <v>2</v>
      </c>
      <c r="C15">
        <v>2</v>
      </c>
      <c r="D15">
        <v>2</v>
      </c>
      <c r="E15">
        <v>70</v>
      </c>
      <c r="F15">
        <v>8.4</v>
      </c>
      <c r="G15">
        <v>7.9</v>
      </c>
      <c r="H15">
        <v>0</v>
      </c>
      <c r="I15">
        <v>4.3</v>
      </c>
    </row>
    <row r="16" spans="1:29" x14ac:dyDescent="0.2">
      <c r="A16" s="1">
        <v>45937</v>
      </c>
      <c r="B16">
        <v>2</v>
      </c>
      <c r="C16">
        <v>3</v>
      </c>
      <c r="D16">
        <v>3</v>
      </c>
      <c r="E16">
        <v>80</v>
      </c>
      <c r="F16">
        <v>6.2</v>
      </c>
      <c r="G16">
        <v>4.2</v>
      </c>
      <c r="H16">
        <v>5.5</v>
      </c>
      <c r="I16">
        <v>4.7</v>
      </c>
    </row>
    <row r="17" spans="1:27" x14ac:dyDescent="0.2">
      <c r="A17" s="1">
        <v>45937</v>
      </c>
      <c r="B17">
        <v>3</v>
      </c>
      <c r="C17">
        <v>1</v>
      </c>
      <c r="D17">
        <v>0</v>
      </c>
      <c r="E17">
        <v>30</v>
      </c>
      <c r="F17">
        <v>7.5</v>
      </c>
      <c r="G17">
        <v>0</v>
      </c>
      <c r="H17">
        <v>5</v>
      </c>
      <c r="I17">
        <v>0</v>
      </c>
      <c r="J17">
        <v>1</v>
      </c>
      <c r="K17">
        <v>13</v>
      </c>
      <c r="L17">
        <v>6.8</v>
      </c>
      <c r="V17">
        <v>0</v>
      </c>
    </row>
    <row r="18" spans="1:27" x14ac:dyDescent="0.2">
      <c r="A18" s="1">
        <v>45937</v>
      </c>
      <c r="B18">
        <v>3</v>
      </c>
      <c r="C18">
        <v>2</v>
      </c>
      <c r="D18">
        <v>1</v>
      </c>
      <c r="E18">
        <v>10</v>
      </c>
      <c r="F18">
        <v>4.6000000000000005</v>
      </c>
      <c r="G18">
        <v>0</v>
      </c>
      <c r="H18">
        <v>0</v>
      </c>
      <c r="I18">
        <v>3.2</v>
      </c>
    </row>
    <row r="19" spans="1:27" x14ac:dyDescent="0.2">
      <c r="A19" s="1">
        <v>45937</v>
      </c>
      <c r="B19">
        <v>3</v>
      </c>
      <c r="C19">
        <v>3</v>
      </c>
      <c r="D19">
        <v>2</v>
      </c>
      <c r="E19">
        <v>40</v>
      </c>
      <c r="F19">
        <v>8.7000000000000011</v>
      </c>
      <c r="G19">
        <v>2.3000000000000003</v>
      </c>
      <c r="H19">
        <v>3.1</v>
      </c>
      <c r="I19">
        <v>0</v>
      </c>
    </row>
    <row r="20" spans="1:27" x14ac:dyDescent="0.2">
      <c r="A20" s="1">
        <v>45938</v>
      </c>
      <c r="B20">
        <v>4</v>
      </c>
      <c r="C20">
        <v>1</v>
      </c>
      <c r="D20">
        <v>5</v>
      </c>
      <c r="E20">
        <v>40</v>
      </c>
      <c r="F20">
        <v>14.200000000000001</v>
      </c>
      <c r="G20">
        <v>0.8</v>
      </c>
      <c r="H20">
        <v>0</v>
      </c>
      <c r="I20">
        <v>6.4</v>
      </c>
      <c r="J20">
        <v>38</v>
      </c>
      <c r="K20">
        <v>25</v>
      </c>
      <c r="L20">
        <v>10</v>
      </c>
      <c r="M20">
        <v>7.1</v>
      </c>
      <c r="N20">
        <v>5.3</v>
      </c>
      <c r="O20">
        <v>5.0999999999999996</v>
      </c>
      <c r="P20">
        <v>2.7</v>
      </c>
      <c r="Q20">
        <v>7.5</v>
      </c>
      <c r="R20">
        <v>6.7</v>
      </c>
      <c r="S20">
        <v>4.7</v>
      </c>
      <c r="T20">
        <v>6.9</v>
      </c>
      <c r="U20">
        <v>10.4</v>
      </c>
      <c r="V20">
        <v>13</v>
      </c>
      <c r="W20">
        <v>19</v>
      </c>
      <c r="X20">
        <v>6</v>
      </c>
      <c r="Y20">
        <v>6</v>
      </c>
      <c r="Z20">
        <v>11</v>
      </c>
      <c r="AA20">
        <v>16</v>
      </c>
    </row>
    <row r="21" spans="1:27" x14ac:dyDescent="0.2">
      <c r="A21" s="1">
        <v>45938</v>
      </c>
      <c r="B21">
        <v>4</v>
      </c>
      <c r="C21">
        <v>2</v>
      </c>
      <c r="D21">
        <v>3</v>
      </c>
      <c r="E21">
        <v>30</v>
      </c>
      <c r="F21">
        <v>8.6</v>
      </c>
      <c r="G21">
        <v>0</v>
      </c>
      <c r="H21">
        <v>4</v>
      </c>
      <c r="I21">
        <v>3.4000000000000004</v>
      </c>
    </row>
    <row r="22" spans="1:27" x14ac:dyDescent="0.2">
      <c r="A22" s="1">
        <v>45938</v>
      </c>
      <c r="B22">
        <v>4</v>
      </c>
      <c r="C22">
        <v>3</v>
      </c>
      <c r="D22">
        <v>1</v>
      </c>
      <c r="E22">
        <v>5</v>
      </c>
      <c r="F22">
        <v>0.70000000000000007</v>
      </c>
      <c r="G22">
        <v>1.9000000000000001</v>
      </c>
      <c r="H22">
        <v>0</v>
      </c>
      <c r="I22">
        <v>0</v>
      </c>
    </row>
    <row r="23" spans="1:27" x14ac:dyDescent="0.2">
      <c r="A23" s="1">
        <v>45938</v>
      </c>
      <c r="B23">
        <v>5</v>
      </c>
      <c r="C23">
        <v>1</v>
      </c>
      <c r="D23">
        <v>4</v>
      </c>
      <c r="E23">
        <v>90</v>
      </c>
      <c r="F23">
        <v>15.100000000000001</v>
      </c>
      <c r="G23">
        <v>6.4</v>
      </c>
      <c r="H23">
        <v>9.7000000000000011</v>
      </c>
      <c r="I23">
        <v>1.5</v>
      </c>
      <c r="J23">
        <v>31</v>
      </c>
      <c r="K23">
        <v>24</v>
      </c>
      <c r="L23">
        <v>2.6</v>
      </c>
      <c r="M23">
        <v>6.4</v>
      </c>
      <c r="N23">
        <v>7.3</v>
      </c>
      <c r="O23">
        <v>5.6</v>
      </c>
      <c r="P23">
        <v>7.1</v>
      </c>
      <c r="Q23">
        <v>5.2</v>
      </c>
      <c r="R23">
        <v>6</v>
      </c>
      <c r="S23">
        <v>6.5</v>
      </c>
      <c r="T23">
        <v>7.1</v>
      </c>
      <c r="U23">
        <v>7.2</v>
      </c>
      <c r="V23">
        <v>10</v>
      </c>
      <c r="W23">
        <v>5</v>
      </c>
      <c r="X23">
        <v>13</v>
      </c>
      <c r="Y23">
        <v>13</v>
      </c>
      <c r="Z23">
        <v>13</v>
      </c>
      <c r="AA23">
        <v>10</v>
      </c>
    </row>
    <row r="24" spans="1:27" x14ac:dyDescent="0.2">
      <c r="A24" s="1">
        <v>45938</v>
      </c>
      <c r="B24">
        <v>5</v>
      </c>
      <c r="C24">
        <v>2</v>
      </c>
      <c r="D24">
        <v>2</v>
      </c>
      <c r="E24">
        <v>100</v>
      </c>
      <c r="F24">
        <v>9.3000000000000007</v>
      </c>
      <c r="G24">
        <v>2.4000000000000004</v>
      </c>
      <c r="H24">
        <v>2.7</v>
      </c>
      <c r="I24">
        <v>0.5</v>
      </c>
    </row>
    <row r="25" spans="1:27" x14ac:dyDescent="0.2">
      <c r="A25" s="1">
        <v>45938</v>
      </c>
      <c r="B25">
        <v>5</v>
      </c>
      <c r="C25">
        <v>3</v>
      </c>
      <c r="D25">
        <v>3</v>
      </c>
      <c r="E25">
        <v>100</v>
      </c>
      <c r="F25">
        <v>11.3</v>
      </c>
      <c r="G25">
        <v>9.6000000000000014</v>
      </c>
      <c r="H25">
        <v>8.2000000000000011</v>
      </c>
      <c r="I25">
        <v>10.3</v>
      </c>
    </row>
    <row r="26" spans="1:27" x14ac:dyDescent="0.2">
      <c r="A26" s="1">
        <v>45938</v>
      </c>
      <c r="B26">
        <v>6</v>
      </c>
      <c r="C26">
        <v>1</v>
      </c>
      <c r="D26">
        <v>4</v>
      </c>
      <c r="E26">
        <v>80</v>
      </c>
      <c r="F26">
        <v>15.4</v>
      </c>
      <c r="G26">
        <v>8</v>
      </c>
      <c r="H26">
        <v>4.7</v>
      </c>
      <c r="I26">
        <v>3.6</v>
      </c>
      <c r="J26">
        <v>23</v>
      </c>
      <c r="K26">
        <v>36</v>
      </c>
      <c r="L26">
        <v>7.2</v>
      </c>
      <c r="M26">
        <v>6.4</v>
      </c>
      <c r="N26">
        <v>6.5</v>
      </c>
      <c r="O26">
        <v>4.2</v>
      </c>
      <c r="P26">
        <v>5.6</v>
      </c>
      <c r="Q26">
        <v>8</v>
      </c>
      <c r="R26">
        <v>3.6</v>
      </c>
      <c r="S26">
        <v>1.7</v>
      </c>
      <c r="T26">
        <v>2</v>
      </c>
      <c r="U26">
        <v>5.7</v>
      </c>
      <c r="V26">
        <v>3</v>
      </c>
      <c r="W26">
        <v>12</v>
      </c>
      <c r="X26">
        <v>12</v>
      </c>
      <c r="Y26">
        <v>6</v>
      </c>
    </row>
    <row r="27" spans="1:27" x14ac:dyDescent="0.2">
      <c r="A27" s="1">
        <v>45938</v>
      </c>
      <c r="B27">
        <v>6</v>
      </c>
      <c r="C27">
        <v>2</v>
      </c>
      <c r="D27">
        <v>2</v>
      </c>
      <c r="E27">
        <v>70</v>
      </c>
      <c r="F27">
        <v>8.2000000000000011</v>
      </c>
      <c r="G27">
        <v>6</v>
      </c>
      <c r="H27">
        <v>4.1000000000000005</v>
      </c>
      <c r="I27">
        <v>2.7</v>
      </c>
    </row>
    <row r="28" spans="1:27" x14ac:dyDescent="0.2">
      <c r="A28" s="1">
        <v>45938</v>
      </c>
      <c r="B28">
        <v>6</v>
      </c>
      <c r="C28">
        <v>3</v>
      </c>
      <c r="D28">
        <v>2</v>
      </c>
      <c r="E28">
        <v>50</v>
      </c>
      <c r="F28">
        <v>1.4000000000000001</v>
      </c>
      <c r="G28">
        <v>0</v>
      </c>
      <c r="H28">
        <v>9.3000000000000007</v>
      </c>
      <c r="I28">
        <v>0</v>
      </c>
    </row>
    <row r="29" spans="1:27" x14ac:dyDescent="0.2">
      <c r="A29" s="1">
        <v>45938</v>
      </c>
      <c r="B29">
        <v>7</v>
      </c>
      <c r="C29">
        <v>1</v>
      </c>
      <c r="D29">
        <v>4</v>
      </c>
      <c r="E29">
        <v>80</v>
      </c>
      <c r="F29">
        <v>0.60000000000000009</v>
      </c>
      <c r="G29">
        <v>4.9000000000000004</v>
      </c>
      <c r="H29">
        <v>4.9000000000000004</v>
      </c>
      <c r="I29">
        <v>5.2</v>
      </c>
      <c r="J29">
        <v>27</v>
      </c>
      <c r="K29">
        <v>11</v>
      </c>
      <c r="L29">
        <v>5.2</v>
      </c>
      <c r="M29">
        <v>6.9</v>
      </c>
      <c r="N29">
        <v>7.6</v>
      </c>
      <c r="O29">
        <v>6</v>
      </c>
      <c r="P29">
        <v>4.9000000000000004</v>
      </c>
      <c r="Q29">
        <v>10.3</v>
      </c>
      <c r="R29">
        <v>2</v>
      </c>
      <c r="S29">
        <v>6.9</v>
      </c>
      <c r="T29">
        <v>6</v>
      </c>
      <c r="U29">
        <v>4.2</v>
      </c>
      <c r="V29">
        <v>16</v>
      </c>
      <c r="W29">
        <v>11</v>
      </c>
      <c r="X29">
        <v>11</v>
      </c>
      <c r="Y29">
        <v>3</v>
      </c>
      <c r="Z29">
        <v>12</v>
      </c>
      <c r="AA29">
        <v>6</v>
      </c>
    </row>
    <row r="30" spans="1:27" x14ac:dyDescent="0.2">
      <c r="A30" s="1">
        <v>45938</v>
      </c>
      <c r="B30">
        <v>7</v>
      </c>
      <c r="C30">
        <v>2</v>
      </c>
      <c r="D30">
        <v>5</v>
      </c>
      <c r="E30">
        <v>100</v>
      </c>
      <c r="F30">
        <v>1.4000000000000001</v>
      </c>
      <c r="G30">
        <v>8</v>
      </c>
      <c r="H30">
        <v>4.5</v>
      </c>
      <c r="I30">
        <v>8.6</v>
      </c>
    </row>
    <row r="31" spans="1:27" x14ac:dyDescent="0.2">
      <c r="A31" s="1">
        <v>45938</v>
      </c>
      <c r="B31">
        <v>7</v>
      </c>
      <c r="C31">
        <v>3</v>
      </c>
      <c r="D31">
        <v>3</v>
      </c>
      <c r="E31">
        <v>80</v>
      </c>
      <c r="F31">
        <v>7.3000000000000007</v>
      </c>
      <c r="G31">
        <v>4.5</v>
      </c>
      <c r="H31">
        <v>0</v>
      </c>
      <c r="I31">
        <v>4.3</v>
      </c>
    </row>
    <row r="32" spans="1:27" x14ac:dyDescent="0.2">
      <c r="A32" s="1">
        <v>45938</v>
      </c>
      <c r="B32">
        <v>8</v>
      </c>
      <c r="C32">
        <v>1</v>
      </c>
      <c r="D32">
        <v>3</v>
      </c>
      <c r="E32">
        <v>40</v>
      </c>
      <c r="F32">
        <v>14.600000000000001</v>
      </c>
      <c r="G32">
        <v>0</v>
      </c>
      <c r="H32">
        <v>4.3</v>
      </c>
      <c r="I32">
        <v>2.2000000000000002</v>
      </c>
      <c r="J32">
        <v>7</v>
      </c>
      <c r="K32">
        <v>41</v>
      </c>
      <c r="L32">
        <v>7.4</v>
      </c>
      <c r="M32">
        <v>4.5</v>
      </c>
      <c r="N32">
        <v>5.3</v>
      </c>
      <c r="O32">
        <v>3.2</v>
      </c>
      <c r="P32">
        <v>6.4</v>
      </c>
      <c r="Q32">
        <v>6.1</v>
      </c>
      <c r="R32">
        <v>6.6</v>
      </c>
      <c r="V32">
        <v>1</v>
      </c>
      <c r="W32">
        <v>15</v>
      </c>
    </row>
    <row r="33" spans="1:27" x14ac:dyDescent="0.2">
      <c r="A33" s="1">
        <v>45938</v>
      </c>
      <c r="B33">
        <v>8</v>
      </c>
      <c r="C33">
        <v>2</v>
      </c>
      <c r="D33">
        <v>3</v>
      </c>
      <c r="E33">
        <v>80</v>
      </c>
      <c r="F33">
        <v>19.8</v>
      </c>
      <c r="G33">
        <v>5.3000000000000007</v>
      </c>
      <c r="H33">
        <v>4.3</v>
      </c>
      <c r="I33">
        <v>3.3000000000000003</v>
      </c>
    </row>
    <row r="34" spans="1:27" x14ac:dyDescent="0.2">
      <c r="A34" s="1">
        <v>45938</v>
      </c>
      <c r="B34">
        <v>8</v>
      </c>
      <c r="C34">
        <v>3</v>
      </c>
      <c r="D34">
        <v>3</v>
      </c>
      <c r="E34">
        <v>100</v>
      </c>
      <c r="F34">
        <v>8.9</v>
      </c>
      <c r="G34">
        <v>5.5</v>
      </c>
      <c r="H34">
        <v>7.6000000000000005</v>
      </c>
      <c r="I34">
        <v>7.4</v>
      </c>
    </row>
    <row r="35" spans="1:27" x14ac:dyDescent="0.2">
      <c r="A35" s="1">
        <v>45938</v>
      </c>
      <c r="B35">
        <v>9</v>
      </c>
      <c r="C35">
        <v>1</v>
      </c>
      <c r="D35">
        <v>2</v>
      </c>
      <c r="E35">
        <v>30</v>
      </c>
      <c r="F35">
        <v>3.5</v>
      </c>
      <c r="G35">
        <v>0</v>
      </c>
      <c r="H35">
        <v>2.2000000000000002</v>
      </c>
      <c r="I35">
        <v>0</v>
      </c>
      <c r="J35">
        <v>6</v>
      </c>
      <c r="K35">
        <v>15</v>
      </c>
      <c r="L35">
        <v>4.4000000000000004</v>
      </c>
      <c r="M35">
        <v>5.2</v>
      </c>
      <c r="N35">
        <v>11.1</v>
      </c>
      <c r="O35">
        <v>5.9</v>
      </c>
      <c r="P35">
        <v>7.5</v>
      </c>
      <c r="Q35">
        <v>4.9000000000000004</v>
      </c>
      <c r="V35">
        <v>0</v>
      </c>
    </row>
    <row r="36" spans="1:27" x14ac:dyDescent="0.2">
      <c r="A36" s="1">
        <v>45938</v>
      </c>
      <c r="B36">
        <v>9</v>
      </c>
      <c r="C36">
        <v>2</v>
      </c>
      <c r="D36">
        <v>3</v>
      </c>
      <c r="E36">
        <v>80</v>
      </c>
      <c r="F36">
        <v>7.5</v>
      </c>
      <c r="G36">
        <v>3.1</v>
      </c>
      <c r="H36">
        <v>4.2</v>
      </c>
      <c r="I36">
        <v>5.3000000000000007</v>
      </c>
    </row>
    <row r="37" spans="1:27" x14ac:dyDescent="0.2">
      <c r="A37" s="1">
        <v>45938</v>
      </c>
      <c r="B37">
        <v>9</v>
      </c>
      <c r="C37">
        <v>3</v>
      </c>
      <c r="D37">
        <v>2</v>
      </c>
      <c r="E37">
        <v>70</v>
      </c>
      <c r="F37">
        <v>0.70000000000000007</v>
      </c>
      <c r="G37">
        <v>3.2</v>
      </c>
      <c r="H37">
        <v>3</v>
      </c>
      <c r="I37">
        <v>5.9</v>
      </c>
    </row>
    <row r="38" spans="1:27" x14ac:dyDescent="0.2">
      <c r="A38" s="1">
        <v>45938</v>
      </c>
      <c r="B38">
        <v>10</v>
      </c>
      <c r="C38">
        <v>1</v>
      </c>
      <c r="D38">
        <v>4</v>
      </c>
      <c r="E38">
        <v>90</v>
      </c>
      <c r="F38">
        <v>9.3000000000000007</v>
      </c>
      <c r="G38">
        <v>0</v>
      </c>
      <c r="H38">
        <v>2.3000000000000003</v>
      </c>
      <c r="I38">
        <v>4.6000000000000005</v>
      </c>
      <c r="J38">
        <v>18</v>
      </c>
      <c r="K38">
        <v>22</v>
      </c>
      <c r="L38">
        <v>2.2999999999999998</v>
      </c>
      <c r="M38">
        <v>9.5</v>
      </c>
      <c r="N38">
        <v>5.4</v>
      </c>
      <c r="O38">
        <v>6.4</v>
      </c>
      <c r="P38">
        <v>4.7</v>
      </c>
      <c r="Q38">
        <v>4.2</v>
      </c>
      <c r="R38">
        <v>2.7</v>
      </c>
      <c r="S38">
        <v>1.3</v>
      </c>
      <c r="T38">
        <v>3.8</v>
      </c>
      <c r="U38">
        <v>3.2</v>
      </c>
      <c r="V38">
        <v>10</v>
      </c>
      <c r="W38">
        <v>10</v>
      </c>
      <c r="X38">
        <v>6</v>
      </c>
      <c r="Y38">
        <v>11</v>
      </c>
      <c r="Z38">
        <v>6</v>
      </c>
      <c r="AA38">
        <v>16</v>
      </c>
    </row>
    <row r="39" spans="1:27" x14ac:dyDescent="0.2">
      <c r="A39" s="1">
        <v>45938</v>
      </c>
      <c r="B39">
        <v>10</v>
      </c>
      <c r="C39">
        <v>2</v>
      </c>
      <c r="D39">
        <v>2</v>
      </c>
      <c r="E39">
        <v>70</v>
      </c>
      <c r="F39">
        <v>0.70000000000000007</v>
      </c>
      <c r="G39">
        <v>2.8000000000000003</v>
      </c>
      <c r="H39">
        <v>3.1</v>
      </c>
      <c r="I39">
        <v>1.9000000000000001</v>
      </c>
    </row>
    <row r="40" spans="1:27" x14ac:dyDescent="0.2">
      <c r="A40" s="1">
        <v>45938</v>
      </c>
      <c r="B40">
        <v>10</v>
      </c>
      <c r="C40">
        <v>3</v>
      </c>
      <c r="D40">
        <v>5</v>
      </c>
      <c r="E40">
        <v>100</v>
      </c>
      <c r="F40">
        <v>10.100000000000001</v>
      </c>
      <c r="G40">
        <v>4.5</v>
      </c>
      <c r="H40">
        <v>4.6000000000000005</v>
      </c>
      <c r="I40">
        <v>8</v>
      </c>
    </row>
    <row r="41" spans="1:27" x14ac:dyDescent="0.2">
      <c r="A41" s="1">
        <v>45938</v>
      </c>
      <c r="B41">
        <v>11</v>
      </c>
      <c r="C41">
        <v>1</v>
      </c>
      <c r="D41">
        <v>3</v>
      </c>
      <c r="E41">
        <v>60</v>
      </c>
      <c r="F41">
        <v>18.600000000000001</v>
      </c>
      <c r="G41">
        <v>1.1000000000000001</v>
      </c>
      <c r="H41">
        <v>12.600000000000001</v>
      </c>
      <c r="I41">
        <v>7.2</v>
      </c>
      <c r="J41">
        <v>31</v>
      </c>
      <c r="K41">
        <v>29</v>
      </c>
      <c r="L41">
        <v>7.5</v>
      </c>
      <c r="M41">
        <v>6.2</v>
      </c>
      <c r="N41">
        <v>5.3</v>
      </c>
      <c r="O41">
        <v>8.4</v>
      </c>
      <c r="P41">
        <v>1.9</v>
      </c>
      <c r="Q41">
        <v>4</v>
      </c>
      <c r="R41">
        <v>7.7</v>
      </c>
      <c r="S41">
        <v>4.8</v>
      </c>
      <c r="T41">
        <v>2</v>
      </c>
      <c r="U41">
        <v>1.8</v>
      </c>
      <c r="V41">
        <v>35</v>
      </c>
      <c r="W41">
        <v>6</v>
      </c>
      <c r="X41">
        <v>10</v>
      </c>
      <c r="Y41">
        <v>6</v>
      </c>
      <c r="Z41">
        <v>7</v>
      </c>
      <c r="AA41">
        <v>7</v>
      </c>
    </row>
    <row r="42" spans="1:27" x14ac:dyDescent="0.2">
      <c r="A42" s="1">
        <v>45938</v>
      </c>
      <c r="B42">
        <v>11</v>
      </c>
      <c r="C42">
        <v>2</v>
      </c>
      <c r="D42">
        <v>2</v>
      </c>
      <c r="E42">
        <v>40</v>
      </c>
      <c r="F42">
        <v>11.5</v>
      </c>
      <c r="G42">
        <v>0</v>
      </c>
      <c r="H42">
        <v>0</v>
      </c>
      <c r="I42">
        <v>6.2</v>
      </c>
    </row>
    <row r="43" spans="1:27" x14ac:dyDescent="0.2">
      <c r="A43" s="1">
        <v>45938</v>
      </c>
      <c r="B43">
        <v>11</v>
      </c>
      <c r="C43">
        <v>3</v>
      </c>
      <c r="D43">
        <v>2</v>
      </c>
      <c r="E43">
        <v>80</v>
      </c>
      <c r="F43">
        <v>14.200000000000001</v>
      </c>
      <c r="G43">
        <v>12.5</v>
      </c>
      <c r="H43">
        <v>0</v>
      </c>
      <c r="I43">
        <v>4.5</v>
      </c>
    </row>
    <row r="44" spans="1:27" x14ac:dyDescent="0.2">
      <c r="A44" s="1">
        <v>45938</v>
      </c>
      <c r="B44">
        <v>12</v>
      </c>
      <c r="C44">
        <v>1</v>
      </c>
      <c r="D44">
        <v>1</v>
      </c>
      <c r="E44">
        <v>20</v>
      </c>
      <c r="F44">
        <v>5.1000000000000005</v>
      </c>
      <c r="G44">
        <v>3</v>
      </c>
      <c r="H44">
        <v>0</v>
      </c>
      <c r="I44">
        <v>0</v>
      </c>
      <c r="J44">
        <v>7</v>
      </c>
      <c r="K44">
        <v>2</v>
      </c>
      <c r="L44">
        <v>1.6</v>
      </c>
      <c r="M44">
        <v>2.2999999999999998</v>
      </c>
      <c r="N44">
        <v>10.1</v>
      </c>
      <c r="O44">
        <v>1.6</v>
      </c>
      <c r="P44">
        <v>1.2</v>
      </c>
      <c r="Q44">
        <v>1.4</v>
      </c>
      <c r="R44">
        <v>1.1000000000000001</v>
      </c>
      <c r="V44">
        <v>4</v>
      </c>
      <c r="W44">
        <v>9</v>
      </c>
      <c r="X44">
        <v>11</v>
      </c>
      <c r="Y44">
        <v>13</v>
      </c>
      <c r="Z44">
        <v>4</v>
      </c>
    </row>
    <row r="45" spans="1:27" x14ac:dyDescent="0.2">
      <c r="A45" s="1">
        <v>45938</v>
      </c>
      <c r="B45">
        <v>12</v>
      </c>
      <c r="C45">
        <v>2</v>
      </c>
      <c r="D45">
        <v>1</v>
      </c>
      <c r="E45">
        <v>20</v>
      </c>
      <c r="F45">
        <v>5.2</v>
      </c>
      <c r="G45">
        <v>4.8000000000000007</v>
      </c>
      <c r="H45">
        <v>0</v>
      </c>
      <c r="I45">
        <v>0</v>
      </c>
    </row>
    <row r="46" spans="1:27" x14ac:dyDescent="0.2">
      <c r="A46" s="1">
        <v>45938</v>
      </c>
      <c r="B46">
        <v>12</v>
      </c>
      <c r="C46">
        <v>3</v>
      </c>
      <c r="D46">
        <v>1</v>
      </c>
      <c r="E46">
        <v>60</v>
      </c>
      <c r="F46">
        <v>8.1</v>
      </c>
      <c r="G46">
        <v>0</v>
      </c>
      <c r="H46">
        <v>3</v>
      </c>
      <c r="I46">
        <v>0</v>
      </c>
    </row>
    <row r="47" spans="1:27" x14ac:dyDescent="0.2">
      <c r="A47" s="1">
        <v>45938</v>
      </c>
      <c r="B47">
        <v>13</v>
      </c>
      <c r="C47">
        <v>1</v>
      </c>
      <c r="D47">
        <v>0</v>
      </c>
      <c r="E47">
        <v>20</v>
      </c>
      <c r="F47">
        <v>5.9</v>
      </c>
      <c r="G47">
        <v>3.4000000000000004</v>
      </c>
      <c r="H47">
        <v>0</v>
      </c>
      <c r="I47">
        <v>0</v>
      </c>
      <c r="J47">
        <v>1</v>
      </c>
      <c r="K47">
        <v>11</v>
      </c>
      <c r="L47">
        <v>3.4</v>
      </c>
      <c r="V47">
        <v>0</v>
      </c>
    </row>
    <row r="48" spans="1:27" x14ac:dyDescent="0.2">
      <c r="A48" s="1">
        <v>45938</v>
      </c>
      <c r="B48">
        <v>13</v>
      </c>
      <c r="C48">
        <v>2</v>
      </c>
      <c r="D48">
        <v>3</v>
      </c>
      <c r="E48">
        <v>70</v>
      </c>
      <c r="F48">
        <v>7.9</v>
      </c>
      <c r="G48">
        <v>0</v>
      </c>
      <c r="H48">
        <v>4.2</v>
      </c>
      <c r="I48">
        <v>3.1</v>
      </c>
    </row>
    <row r="49" spans="1:27" x14ac:dyDescent="0.2">
      <c r="A49" s="1">
        <v>45938</v>
      </c>
      <c r="B49">
        <v>13</v>
      </c>
      <c r="C49">
        <v>3</v>
      </c>
      <c r="D49">
        <v>1</v>
      </c>
      <c r="E49">
        <v>10</v>
      </c>
      <c r="F49">
        <v>4.6000000000000005</v>
      </c>
      <c r="G49">
        <v>0</v>
      </c>
      <c r="H49">
        <v>0</v>
      </c>
      <c r="I49">
        <v>4.4000000000000004</v>
      </c>
    </row>
    <row r="50" spans="1:27" x14ac:dyDescent="0.2">
      <c r="A50" s="1">
        <v>45938</v>
      </c>
      <c r="B50">
        <v>14</v>
      </c>
      <c r="C50">
        <v>1</v>
      </c>
      <c r="D50">
        <v>4</v>
      </c>
      <c r="E50">
        <v>90</v>
      </c>
      <c r="F50">
        <v>8.5</v>
      </c>
      <c r="G50">
        <v>2.8000000000000003</v>
      </c>
      <c r="H50">
        <v>5.5</v>
      </c>
      <c r="I50">
        <v>3.2</v>
      </c>
      <c r="J50">
        <v>27</v>
      </c>
      <c r="K50">
        <v>23</v>
      </c>
      <c r="L50">
        <v>7.2</v>
      </c>
      <c r="M50">
        <v>5.3</v>
      </c>
      <c r="N50">
        <v>7.9</v>
      </c>
      <c r="O50">
        <v>4.5999999999999996</v>
      </c>
      <c r="P50">
        <v>4.5</v>
      </c>
      <c r="Q50">
        <v>5.3</v>
      </c>
      <c r="R50">
        <v>4</v>
      </c>
      <c r="S50">
        <v>7.1</v>
      </c>
      <c r="T50">
        <v>3.1</v>
      </c>
      <c r="U50">
        <v>4.7</v>
      </c>
      <c r="V50">
        <v>9</v>
      </c>
      <c r="W50">
        <v>7</v>
      </c>
      <c r="X50">
        <v>6</v>
      </c>
      <c r="Y50">
        <v>4</v>
      </c>
      <c r="Z50">
        <v>5</v>
      </c>
      <c r="AA50">
        <v>4</v>
      </c>
    </row>
    <row r="51" spans="1:27" x14ac:dyDescent="0.2">
      <c r="A51" s="1">
        <v>45938</v>
      </c>
      <c r="B51">
        <v>14</v>
      </c>
      <c r="C51">
        <v>2</v>
      </c>
      <c r="D51">
        <v>3</v>
      </c>
      <c r="E51">
        <v>30</v>
      </c>
      <c r="F51">
        <v>11.700000000000001</v>
      </c>
      <c r="G51">
        <v>1.6</v>
      </c>
      <c r="H51">
        <v>5</v>
      </c>
      <c r="I51">
        <v>0</v>
      </c>
    </row>
    <row r="52" spans="1:27" x14ac:dyDescent="0.2">
      <c r="A52" s="1">
        <v>45938</v>
      </c>
      <c r="B52">
        <v>14</v>
      </c>
      <c r="C52">
        <v>3</v>
      </c>
      <c r="D52">
        <v>5</v>
      </c>
      <c r="E52">
        <v>80</v>
      </c>
      <c r="F52">
        <v>15.200000000000001</v>
      </c>
      <c r="G52">
        <v>0</v>
      </c>
      <c r="H52">
        <v>2.1</v>
      </c>
      <c r="I52">
        <v>6.1000000000000005</v>
      </c>
    </row>
    <row r="53" spans="1:27" x14ac:dyDescent="0.2">
      <c r="A53" s="1">
        <v>45938</v>
      </c>
      <c r="B53">
        <v>15</v>
      </c>
      <c r="C53">
        <v>1</v>
      </c>
      <c r="D53">
        <v>3</v>
      </c>
      <c r="E53">
        <v>50</v>
      </c>
      <c r="F53">
        <v>7.6000000000000005</v>
      </c>
      <c r="G53">
        <v>2.5</v>
      </c>
      <c r="H53">
        <v>0</v>
      </c>
      <c r="I53">
        <v>4.4000000000000004</v>
      </c>
      <c r="J53">
        <v>7</v>
      </c>
      <c r="K53">
        <v>30</v>
      </c>
      <c r="L53">
        <v>7.2</v>
      </c>
      <c r="M53">
        <v>3.2</v>
      </c>
      <c r="N53">
        <v>6</v>
      </c>
      <c r="O53">
        <v>8.1</v>
      </c>
      <c r="P53">
        <v>8.1999999999999993</v>
      </c>
      <c r="Q53">
        <v>3.5</v>
      </c>
      <c r="R53">
        <v>6.7</v>
      </c>
      <c r="V53">
        <v>2</v>
      </c>
      <c r="W53">
        <v>10</v>
      </c>
      <c r="X53">
        <v>6</v>
      </c>
    </row>
    <row r="54" spans="1:27" x14ac:dyDescent="0.2">
      <c r="A54" s="1">
        <v>45938</v>
      </c>
      <c r="B54">
        <v>15</v>
      </c>
      <c r="C54">
        <v>2</v>
      </c>
      <c r="D54">
        <v>4</v>
      </c>
      <c r="E54">
        <v>100</v>
      </c>
      <c r="F54">
        <v>12</v>
      </c>
      <c r="G54">
        <v>3.2</v>
      </c>
      <c r="H54">
        <v>9.4</v>
      </c>
      <c r="I54">
        <v>4.7</v>
      </c>
    </row>
    <row r="55" spans="1:27" x14ac:dyDescent="0.2">
      <c r="A55" s="1">
        <v>45938</v>
      </c>
      <c r="B55">
        <v>15</v>
      </c>
      <c r="C55">
        <v>3</v>
      </c>
      <c r="D55">
        <v>2</v>
      </c>
      <c r="E55">
        <v>70</v>
      </c>
      <c r="F55">
        <v>8.2000000000000011</v>
      </c>
      <c r="G55">
        <v>3.7</v>
      </c>
      <c r="H55">
        <v>4</v>
      </c>
      <c r="I55">
        <v>0</v>
      </c>
    </row>
    <row r="56" spans="1:27" x14ac:dyDescent="0.2">
      <c r="A56" s="1">
        <v>45938</v>
      </c>
      <c r="B56">
        <v>16</v>
      </c>
      <c r="C56">
        <v>1</v>
      </c>
      <c r="D56">
        <v>0</v>
      </c>
      <c r="E56">
        <v>20</v>
      </c>
      <c r="F56">
        <v>3.5</v>
      </c>
      <c r="G56">
        <v>0</v>
      </c>
      <c r="H56">
        <v>0</v>
      </c>
      <c r="I56">
        <v>0</v>
      </c>
      <c r="J56">
        <v>0</v>
      </c>
      <c r="K56">
        <v>11</v>
      </c>
      <c r="V56">
        <v>0</v>
      </c>
    </row>
    <row r="57" spans="1:27" x14ac:dyDescent="0.2">
      <c r="A57" s="1">
        <v>45938</v>
      </c>
      <c r="B57">
        <v>16</v>
      </c>
      <c r="C57">
        <v>2</v>
      </c>
      <c r="D57">
        <v>2</v>
      </c>
      <c r="E57">
        <v>50</v>
      </c>
      <c r="F57">
        <v>9.9</v>
      </c>
      <c r="G57">
        <v>4.4000000000000004</v>
      </c>
      <c r="H57">
        <v>0</v>
      </c>
      <c r="I57">
        <v>2.2000000000000002</v>
      </c>
    </row>
    <row r="58" spans="1:27" x14ac:dyDescent="0.2">
      <c r="A58" s="1">
        <v>45938</v>
      </c>
      <c r="B58">
        <v>16</v>
      </c>
      <c r="C58">
        <v>3</v>
      </c>
      <c r="D58">
        <v>1</v>
      </c>
      <c r="E58">
        <v>10</v>
      </c>
      <c r="F58">
        <v>5</v>
      </c>
      <c r="G58">
        <v>0</v>
      </c>
      <c r="H58">
        <v>0</v>
      </c>
      <c r="I58">
        <v>2.1</v>
      </c>
    </row>
    <row r="59" spans="1:27" x14ac:dyDescent="0.2">
      <c r="A59" s="1">
        <v>45938</v>
      </c>
      <c r="B59">
        <v>17</v>
      </c>
      <c r="C59">
        <v>1</v>
      </c>
      <c r="D59">
        <v>4</v>
      </c>
      <c r="E59">
        <v>100</v>
      </c>
      <c r="F59">
        <v>10.600000000000001</v>
      </c>
      <c r="G59">
        <v>2.1</v>
      </c>
      <c r="H59">
        <v>7</v>
      </c>
      <c r="I59">
        <v>7.2</v>
      </c>
      <c r="J59">
        <v>12</v>
      </c>
      <c r="K59">
        <v>28</v>
      </c>
      <c r="L59">
        <v>4.5999999999999996</v>
      </c>
      <c r="M59">
        <v>3</v>
      </c>
      <c r="N59">
        <v>2.5</v>
      </c>
      <c r="O59">
        <v>5.6</v>
      </c>
      <c r="P59">
        <v>5.9</v>
      </c>
      <c r="Q59">
        <v>3.5</v>
      </c>
      <c r="R59">
        <v>2.6</v>
      </c>
      <c r="S59">
        <v>5.0999999999999996</v>
      </c>
      <c r="T59">
        <v>6.7</v>
      </c>
      <c r="U59">
        <v>6.1</v>
      </c>
      <c r="V59">
        <v>12</v>
      </c>
      <c r="W59">
        <v>16</v>
      </c>
      <c r="X59">
        <v>4</v>
      </c>
      <c r="Y59">
        <v>5</v>
      </c>
      <c r="Z59">
        <v>7</v>
      </c>
      <c r="AA59">
        <v>7</v>
      </c>
    </row>
    <row r="60" spans="1:27" x14ac:dyDescent="0.2">
      <c r="A60" s="1">
        <v>45938</v>
      </c>
      <c r="B60">
        <v>17</v>
      </c>
      <c r="C60">
        <v>2</v>
      </c>
      <c r="D60">
        <v>1</v>
      </c>
      <c r="E60">
        <v>20</v>
      </c>
      <c r="F60">
        <v>7.6000000000000005</v>
      </c>
      <c r="G60">
        <v>5.4</v>
      </c>
      <c r="H60">
        <v>4.9000000000000004</v>
      </c>
      <c r="I60">
        <v>0</v>
      </c>
    </row>
    <row r="61" spans="1:27" x14ac:dyDescent="0.2">
      <c r="A61" s="1">
        <v>45938</v>
      </c>
      <c r="B61">
        <v>17</v>
      </c>
      <c r="C61">
        <v>3</v>
      </c>
      <c r="D61">
        <v>0</v>
      </c>
      <c r="E61">
        <v>10</v>
      </c>
      <c r="F61">
        <v>2.8000000000000003</v>
      </c>
      <c r="G61">
        <v>0</v>
      </c>
      <c r="H61">
        <v>0</v>
      </c>
      <c r="I61">
        <v>0</v>
      </c>
    </row>
    <row r="62" spans="1:27" x14ac:dyDescent="0.2">
      <c r="A62" s="1">
        <v>45938</v>
      </c>
      <c r="B62">
        <v>18</v>
      </c>
      <c r="C62">
        <v>1</v>
      </c>
      <c r="D62">
        <v>5</v>
      </c>
      <c r="E62">
        <v>80</v>
      </c>
      <c r="F62">
        <v>10.3</v>
      </c>
      <c r="G62">
        <v>5.4</v>
      </c>
      <c r="H62">
        <v>6.7</v>
      </c>
      <c r="I62">
        <v>4</v>
      </c>
      <c r="J62">
        <v>15</v>
      </c>
      <c r="K62">
        <v>55</v>
      </c>
      <c r="L62">
        <v>2.2000000000000002</v>
      </c>
      <c r="M62">
        <v>6.3</v>
      </c>
      <c r="N62">
        <v>6.1</v>
      </c>
      <c r="O62">
        <v>3.4</v>
      </c>
      <c r="P62">
        <v>3.5</v>
      </c>
      <c r="Q62">
        <v>3.7</v>
      </c>
      <c r="R62">
        <v>5</v>
      </c>
      <c r="S62">
        <v>6.9</v>
      </c>
      <c r="T62">
        <v>5.6</v>
      </c>
      <c r="U62">
        <v>4.5</v>
      </c>
      <c r="V62">
        <v>15</v>
      </c>
      <c r="W62">
        <v>10</v>
      </c>
      <c r="X62">
        <v>9</v>
      </c>
      <c r="Y62">
        <v>3</v>
      </c>
      <c r="Z62">
        <v>12</v>
      </c>
      <c r="AA62">
        <v>5</v>
      </c>
    </row>
    <row r="63" spans="1:27" x14ac:dyDescent="0.2">
      <c r="A63" s="1">
        <v>45938</v>
      </c>
      <c r="B63">
        <v>18</v>
      </c>
      <c r="C63">
        <v>2</v>
      </c>
      <c r="D63">
        <v>3</v>
      </c>
      <c r="E63">
        <v>70</v>
      </c>
      <c r="F63">
        <v>10.8</v>
      </c>
      <c r="G63">
        <v>5.2</v>
      </c>
      <c r="H63">
        <v>4.1000000000000005</v>
      </c>
      <c r="I63">
        <v>5.3000000000000007</v>
      </c>
    </row>
    <row r="64" spans="1:27" x14ac:dyDescent="0.2">
      <c r="A64" s="1">
        <v>45938</v>
      </c>
      <c r="B64">
        <v>18</v>
      </c>
      <c r="C64">
        <v>3</v>
      </c>
      <c r="D64">
        <v>2</v>
      </c>
      <c r="E64">
        <v>80</v>
      </c>
      <c r="F64">
        <v>8.7000000000000011</v>
      </c>
      <c r="G64">
        <v>3.9000000000000004</v>
      </c>
      <c r="H64">
        <v>8.5</v>
      </c>
      <c r="I64">
        <v>8</v>
      </c>
    </row>
    <row r="65" spans="1:27" x14ac:dyDescent="0.2">
      <c r="A65" s="1">
        <v>45938</v>
      </c>
      <c r="B65">
        <v>19</v>
      </c>
      <c r="C65">
        <v>1</v>
      </c>
      <c r="D65">
        <v>0</v>
      </c>
      <c r="E65">
        <v>10</v>
      </c>
      <c r="F65">
        <v>1.6</v>
      </c>
      <c r="G65">
        <v>0</v>
      </c>
      <c r="H65">
        <v>1</v>
      </c>
      <c r="I65">
        <v>0</v>
      </c>
      <c r="J65">
        <v>0</v>
      </c>
      <c r="K65">
        <v>2</v>
      </c>
      <c r="V65">
        <v>5</v>
      </c>
      <c r="W65">
        <v>2</v>
      </c>
      <c r="X65">
        <v>1</v>
      </c>
      <c r="Y65">
        <v>2</v>
      </c>
      <c r="Z65">
        <v>3</v>
      </c>
      <c r="AA65">
        <v>2</v>
      </c>
    </row>
    <row r="66" spans="1:27" x14ac:dyDescent="0.2">
      <c r="A66" s="1">
        <v>45938</v>
      </c>
      <c r="B66">
        <v>19</v>
      </c>
      <c r="C66">
        <v>2</v>
      </c>
      <c r="D66">
        <v>4</v>
      </c>
      <c r="E66">
        <v>100</v>
      </c>
      <c r="F66">
        <v>11.600000000000001</v>
      </c>
      <c r="G66">
        <v>2.9000000000000004</v>
      </c>
      <c r="H66">
        <v>4.1000000000000005</v>
      </c>
      <c r="I66">
        <v>0</v>
      </c>
    </row>
    <row r="67" spans="1:27" x14ac:dyDescent="0.2">
      <c r="A67" s="1">
        <v>45938</v>
      </c>
      <c r="B67">
        <v>19</v>
      </c>
      <c r="C67">
        <v>3</v>
      </c>
      <c r="D67">
        <v>2</v>
      </c>
      <c r="E67">
        <v>40</v>
      </c>
      <c r="F67">
        <v>9.6000000000000014</v>
      </c>
      <c r="G67">
        <v>0</v>
      </c>
      <c r="H67">
        <v>8.5</v>
      </c>
      <c r="I67">
        <v>0</v>
      </c>
    </row>
    <row r="68" spans="1:27" x14ac:dyDescent="0.2">
      <c r="A68" s="1">
        <v>45938</v>
      </c>
      <c r="B68">
        <v>20</v>
      </c>
      <c r="C68">
        <v>1</v>
      </c>
      <c r="D68">
        <v>4</v>
      </c>
      <c r="E68">
        <v>70</v>
      </c>
      <c r="F68">
        <v>9.1</v>
      </c>
      <c r="G68">
        <v>7.1000000000000005</v>
      </c>
      <c r="H68">
        <v>6.9</v>
      </c>
      <c r="I68">
        <v>6.3000000000000007</v>
      </c>
      <c r="J68">
        <v>40</v>
      </c>
      <c r="K68">
        <v>34</v>
      </c>
      <c r="L68">
        <v>3</v>
      </c>
      <c r="M68">
        <v>1.6</v>
      </c>
      <c r="N68">
        <v>2.7</v>
      </c>
      <c r="O68">
        <v>4.4000000000000004</v>
      </c>
      <c r="P68">
        <v>3.7</v>
      </c>
      <c r="Q68">
        <v>6.5</v>
      </c>
      <c r="R68">
        <v>3</v>
      </c>
      <c r="S68">
        <v>5.8</v>
      </c>
      <c r="T68">
        <v>4.9000000000000004</v>
      </c>
      <c r="U68">
        <v>4.0999999999999996</v>
      </c>
      <c r="V68">
        <v>19</v>
      </c>
      <c r="W68">
        <v>4</v>
      </c>
      <c r="X68">
        <v>9</v>
      </c>
      <c r="Y68">
        <v>18</v>
      </c>
      <c r="Z68">
        <v>12</v>
      </c>
      <c r="AA68">
        <v>10</v>
      </c>
    </row>
    <row r="69" spans="1:27" x14ac:dyDescent="0.2">
      <c r="A69" s="1">
        <v>45938</v>
      </c>
      <c r="B69">
        <v>20</v>
      </c>
      <c r="C69">
        <v>2</v>
      </c>
      <c r="D69">
        <v>4</v>
      </c>
      <c r="E69">
        <v>70</v>
      </c>
      <c r="F69">
        <v>7.2</v>
      </c>
      <c r="G69">
        <v>5.4</v>
      </c>
      <c r="H69">
        <v>4.4000000000000004</v>
      </c>
      <c r="I69">
        <v>0</v>
      </c>
    </row>
    <row r="70" spans="1:27" x14ac:dyDescent="0.2">
      <c r="A70" s="1">
        <v>45938</v>
      </c>
      <c r="B70">
        <v>20</v>
      </c>
      <c r="C70">
        <v>3</v>
      </c>
      <c r="D70">
        <v>6</v>
      </c>
      <c r="E70">
        <v>100</v>
      </c>
      <c r="F70">
        <v>9.5</v>
      </c>
      <c r="G70">
        <v>8.4</v>
      </c>
      <c r="H70">
        <v>7</v>
      </c>
      <c r="I70">
        <v>1.9000000000000001</v>
      </c>
    </row>
    <row r="71" spans="1:27" x14ac:dyDescent="0.2">
      <c r="A71" s="1">
        <v>45938</v>
      </c>
      <c r="B71">
        <v>21</v>
      </c>
      <c r="C71">
        <v>1</v>
      </c>
      <c r="D71">
        <v>4</v>
      </c>
      <c r="E71">
        <v>80</v>
      </c>
      <c r="F71">
        <v>9.4</v>
      </c>
      <c r="G71">
        <v>7.5</v>
      </c>
      <c r="H71">
        <v>7.2</v>
      </c>
      <c r="I71">
        <v>3.3000000000000003</v>
      </c>
      <c r="J71">
        <v>23</v>
      </c>
      <c r="K71">
        <v>51</v>
      </c>
      <c r="L71">
        <v>5.2</v>
      </c>
      <c r="M71">
        <v>7.2</v>
      </c>
      <c r="N71">
        <v>4</v>
      </c>
      <c r="O71">
        <v>3.7</v>
      </c>
      <c r="P71">
        <v>5</v>
      </c>
      <c r="Q71">
        <v>4.2</v>
      </c>
      <c r="R71">
        <v>4</v>
      </c>
      <c r="S71">
        <v>4.4000000000000004</v>
      </c>
      <c r="T71">
        <v>5.4</v>
      </c>
      <c r="U71">
        <v>1.9</v>
      </c>
      <c r="V71">
        <v>15</v>
      </c>
      <c r="W71">
        <v>6</v>
      </c>
      <c r="X71">
        <v>4</v>
      </c>
      <c r="Y71">
        <v>2</v>
      </c>
      <c r="Z71">
        <v>6</v>
      </c>
      <c r="AA71">
        <v>7</v>
      </c>
    </row>
    <row r="72" spans="1:27" x14ac:dyDescent="0.2">
      <c r="A72" s="1">
        <v>45938</v>
      </c>
      <c r="B72">
        <v>21</v>
      </c>
      <c r="C72">
        <v>2</v>
      </c>
      <c r="D72">
        <v>2</v>
      </c>
      <c r="E72">
        <v>40</v>
      </c>
      <c r="F72">
        <v>10.200000000000001</v>
      </c>
      <c r="G72">
        <v>4.3</v>
      </c>
      <c r="H72">
        <v>0</v>
      </c>
      <c r="I72">
        <v>5</v>
      </c>
    </row>
    <row r="73" spans="1:27" x14ac:dyDescent="0.2">
      <c r="A73" s="1">
        <v>45938</v>
      </c>
      <c r="B73">
        <v>21</v>
      </c>
      <c r="C73">
        <v>3</v>
      </c>
      <c r="D73">
        <v>4</v>
      </c>
      <c r="E73">
        <v>60</v>
      </c>
      <c r="F73">
        <v>8.3000000000000007</v>
      </c>
      <c r="G73">
        <v>0</v>
      </c>
      <c r="H73">
        <v>3.5</v>
      </c>
      <c r="I73">
        <v>4.2</v>
      </c>
    </row>
    <row r="74" spans="1:27" x14ac:dyDescent="0.2">
      <c r="A74" s="1">
        <v>45938</v>
      </c>
      <c r="B74">
        <v>22</v>
      </c>
      <c r="C74">
        <v>1</v>
      </c>
      <c r="D74">
        <v>2</v>
      </c>
      <c r="E74">
        <v>60</v>
      </c>
      <c r="F74">
        <v>9.7000000000000011</v>
      </c>
      <c r="G74">
        <v>3.8000000000000003</v>
      </c>
      <c r="H74">
        <v>5</v>
      </c>
      <c r="I74">
        <v>0</v>
      </c>
      <c r="J74">
        <v>33</v>
      </c>
      <c r="K74">
        <v>37</v>
      </c>
      <c r="L74">
        <v>4.4000000000000004</v>
      </c>
      <c r="M74">
        <v>2.2000000000000002</v>
      </c>
      <c r="N74">
        <v>1.9</v>
      </c>
      <c r="O74">
        <v>2.1</v>
      </c>
      <c r="P74">
        <v>2</v>
      </c>
      <c r="Q74">
        <v>6.5</v>
      </c>
      <c r="R74">
        <v>3.2</v>
      </c>
      <c r="S74">
        <v>5</v>
      </c>
      <c r="T74">
        <v>4.2</v>
      </c>
      <c r="U74">
        <v>4.5999999999999996</v>
      </c>
      <c r="V74">
        <v>62</v>
      </c>
      <c r="W74">
        <v>6</v>
      </c>
      <c r="X74">
        <v>8</v>
      </c>
      <c r="Y74">
        <v>5</v>
      </c>
      <c r="Z74">
        <v>3</v>
      </c>
      <c r="AA74">
        <v>7</v>
      </c>
    </row>
    <row r="75" spans="1:27" x14ac:dyDescent="0.2">
      <c r="A75" s="1">
        <v>45938</v>
      </c>
      <c r="B75">
        <v>22</v>
      </c>
      <c r="C75">
        <v>2</v>
      </c>
      <c r="D75">
        <v>1</v>
      </c>
      <c r="E75">
        <v>10</v>
      </c>
      <c r="F75">
        <v>4.1000000000000005</v>
      </c>
      <c r="G75">
        <v>0</v>
      </c>
      <c r="H75">
        <v>0</v>
      </c>
      <c r="I75">
        <v>0</v>
      </c>
    </row>
    <row r="76" spans="1:27" x14ac:dyDescent="0.2">
      <c r="A76" s="1">
        <v>45938</v>
      </c>
      <c r="B76">
        <v>22</v>
      </c>
      <c r="C76">
        <v>3</v>
      </c>
      <c r="D76">
        <v>2</v>
      </c>
      <c r="E76">
        <v>50</v>
      </c>
      <c r="F76">
        <v>8.8000000000000007</v>
      </c>
      <c r="G76">
        <v>0</v>
      </c>
      <c r="H76">
        <v>3.2</v>
      </c>
      <c r="I76">
        <v>5.9</v>
      </c>
    </row>
    <row r="77" spans="1:27" x14ac:dyDescent="0.2">
      <c r="B77">
        <v>23</v>
      </c>
      <c r="C77">
        <v>1</v>
      </c>
      <c r="D77">
        <v>5</v>
      </c>
      <c r="E77">
        <v>100</v>
      </c>
      <c r="F77">
        <v>14.600000000000001</v>
      </c>
      <c r="G77">
        <v>13.600000000000001</v>
      </c>
      <c r="H77">
        <v>6.4</v>
      </c>
      <c r="I77">
        <v>9.1</v>
      </c>
      <c r="J77">
        <v>66</v>
      </c>
      <c r="K77">
        <v>61</v>
      </c>
      <c r="L77">
        <v>4.9000000000000004</v>
      </c>
      <c r="M77">
        <v>2.4</v>
      </c>
      <c r="N77">
        <v>3.9</v>
      </c>
      <c r="O77">
        <v>9.1</v>
      </c>
      <c r="P77">
        <v>5.6</v>
      </c>
      <c r="Q77">
        <v>8.6999999999999993</v>
      </c>
      <c r="R77">
        <v>8.1999999999999993</v>
      </c>
      <c r="S77">
        <v>7.5</v>
      </c>
      <c r="T77">
        <v>3.1</v>
      </c>
      <c r="U77">
        <v>2.1</v>
      </c>
      <c r="V77">
        <v>48</v>
      </c>
      <c r="W77">
        <v>11</v>
      </c>
      <c r="X77">
        <v>6</v>
      </c>
      <c r="Y77">
        <v>10</v>
      </c>
      <c r="Z77">
        <v>8</v>
      </c>
      <c r="AA77">
        <v>6</v>
      </c>
    </row>
    <row r="78" spans="1:27" x14ac:dyDescent="0.2">
      <c r="B78">
        <v>23</v>
      </c>
      <c r="C78">
        <v>2</v>
      </c>
      <c r="D78">
        <v>3</v>
      </c>
      <c r="E78">
        <v>70</v>
      </c>
      <c r="F78">
        <v>19.8</v>
      </c>
      <c r="G78">
        <v>17.2</v>
      </c>
      <c r="H78">
        <v>5.8000000000000007</v>
      </c>
      <c r="I78">
        <v>7.7</v>
      </c>
    </row>
    <row r="79" spans="1:27" x14ac:dyDescent="0.2">
      <c r="B79">
        <v>23</v>
      </c>
      <c r="C79">
        <v>3</v>
      </c>
      <c r="D79">
        <v>4</v>
      </c>
      <c r="E79">
        <v>100</v>
      </c>
      <c r="F79">
        <v>11.3</v>
      </c>
      <c r="G79">
        <v>4</v>
      </c>
      <c r="H79">
        <v>6.4</v>
      </c>
      <c r="I79">
        <v>6.9</v>
      </c>
    </row>
    <row r="80" spans="1:27" x14ac:dyDescent="0.2">
      <c r="B80">
        <v>24</v>
      </c>
      <c r="C80">
        <v>1</v>
      </c>
      <c r="D80">
        <v>5</v>
      </c>
      <c r="E80">
        <v>80</v>
      </c>
      <c r="F80">
        <v>7.1000000000000005</v>
      </c>
      <c r="G80">
        <v>4.0999999999999996</v>
      </c>
      <c r="H80">
        <v>6.7</v>
      </c>
      <c r="I80">
        <v>5.2</v>
      </c>
      <c r="J80">
        <v>26</v>
      </c>
      <c r="K80">
        <v>33</v>
      </c>
      <c r="L80">
        <v>2.4</v>
      </c>
      <c r="M80">
        <v>4.5</v>
      </c>
      <c r="N80">
        <v>8.1999999999999993</v>
      </c>
      <c r="O80">
        <v>4.5999999999999996</v>
      </c>
      <c r="P80">
        <v>5.2</v>
      </c>
      <c r="Q80">
        <v>7.7</v>
      </c>
      <c r="R80">
        <v>5.7</v>
      </c>
      <c r="S80">
        <v>8.1999999999999993</v>
      </c>
      <c r="T80">
        <v>6.1</v>
      </c>
      <c r="U80">
        <v>1.5</v>
      </c>
      <c r="V80">
        <v>9</v>
      </c>
      <c r="W80">
        <v>5</v>
      </c>
      <c r="X80">
        <v>2</v>
      </c>
      <c r="Y80">
        <v>14</v>
      </c>
      <c r="Z80">
        <v>3</v>
      </c>
      <c r="AA80">
        <v>7</v>
      </c>
    </row>
    <row r="81" spans="2:27" x14ac:dyDescent="0.2">
      <c r="B81">
        <v>24</v>
      </c>
      <c r="C81">
        <v>2</v>
      </c>
      <c r="D81">
        <v>2</v>
      </c>
      <c r="E81">
        <v>60</v>
      </c>
      <c r="F81">
        <v>16.600000000000001</v>
      </c>
      <c r="G81">
        <v>11.600000000000001</v>
      </c>
      <c r="H81">
        <v>0</v>
      </c>
      <c r="I81">
        <v>9.6000000000000014</v>
      </c>
    </row>
    <row r="82" spans="2:27" x14ac:dyDescent="0.2">
      <c r="B82">
        <v>24</v>
      </c>
      <c r="C82">
        <v>3</v>
      </c>
      <c r="D82">
        <v>3</v>
      </c>
      <c r="E82">
        <v>80</v>
      </c>
      <c r="F82">
        <v>10.3</v>
      </c>
      <c r="G82">
        <v>3.3000000000000003</v>
      </c>
      <c r="H82">
        <v>2.6</v>
      </c>
      <c r="I82">
        <v>0</v>
      </c>
    </row>
    <row r="83" spans="2:27" x14ac:dyDescent="0.2">
      <c r="B83">
        <v>25</v>
      </c>
      <c r="C83">
        <v>1</v>
      </c>
      <c r="D83">
        <v>4</v>
      </c>
      <c r="E83">
        <v>50</v>
      </c>
      <c r="F83">
        <v>16.600000000000001</v>
      </c>
      <c r="G83">
        <v>7.8000000000000007</v>
      </c>
      <c r="H83">
        <v>0</v>
      </c>
      <c r="I83">
        <v>0</v>
      </c>
      <c r="J83">
        <v>39</v>
      </c>
      <c r="K83">
        <v>24</v>
      </c>
      <c r="L83">
        <v>3.3</v>
      </c>
      <c r="M83">
        <v>3.1</v>
      </c>
      <c r="N83">
        <v>1.6</v>
      </c>
      <c r="O83">
        <v>3.6</v>
      </c>
      <c r="P83">
        <v>7.6</v>
      </c>
      <c r="Q83">
        <v>5.3</v>
      </c>
      <c r="R83">
        <v>7.6</v>
      </c>
      <c r="S83">
        <v>9.1999999999999993</v>
      </c>
      <c r="T83">
        <v>6</v>
      </c>
      <c r="U83">
        <v>2.8</v>
      </c>
      <c r="V83">
        <v>16</v>
      </c>
      <c r="W83">
        <v>7</v>
      </c>
      <c r="X83">
        <v>8</v>
      </c>
      <c r="Y83">
        <v>3</v>
      </c>
      <c r="Z83">
        <v>4</v>
      </c>
      <c r="AA83">
        <v>14</v>
      </c>
    </row>
    <row r="84" spans="2:27" x14ac:dyDescent="0.2">
      <c r="B84">
        <v>25</v>
      </c>
      <c r="C84">
        <v>2</v>
      </c>
      <c r="D84">
        <v>2</v>
      </c>
      <c r="E84">
        <v>50</v>
      </c>
      <c r="F84">
        <v>8.3000000000000007</v>
      </c>
      <c r="G84">
        <v>6.8000000000000007</v>
      </c>
      <c r="H84">
        <v>7.1000000000000005</v>
      </c>
      <c r="I84">
        <v>4.4000000000000004</v>
      </c>
    </row>
    <row r="85" spans="2:27" x14ac:dyDescent="0.2">
      <c r="B85">
        <v>25</v>
      </c>
      <c r="C85">
        <v>3</v>
      </c>
      <c r="D85">
        <v>2</v>
      </c>
      <c r="E85">
        <v>50</v>
      </c>
      <c r="F85">
        <v>15.200000000000001</v>
      </c>
      <c r="G85">
        <v>8.2000000000000011</v>
      </c>
      <c r="H85">
        <v>9.5</v>
      </c>
      <c r="I85">
        <v>0</v>
      </c>
    </row>
    <row r="86" spans="2:27" x14ac:dyDescent="0.2">
      <c r="B86">
        <v>26</v>
      </c>
      <c r="C86">
        <v>1</v>
      </c>
      <c r="D86">
        <v>5</v>
      </c>
      <c r="E86">
        <v>90</v>
      </c>
      <c r="F86">
        <v>9.1</v>
      </c>
      <c r="G86">
        <v>8.3000000000000007</v>
      </c>
      <c r="H86">
        <v>0</v>
      </c>
      <c r="I86">
        <v>6.1000000000000005</v>
      </c>
      <c r="J86">
        <v>28</v>
      </c>
      <c r="K86">
        <v>30</v>
      </c>
      <c r="L86">
        <v>1.4</v>
      </c>
      <c r="M86">
        <v>2.5</v>
      </c>
      <c r="N86">
        <v>3.6</v>
      </c>
      <c r="O86">
        <v>3.5</v>
      </c>
      <c r="P86">
        <v>7.6</v>
      </c>
      <c r="Q86">
        <v>5.6</v>
      </c>
      <c r="R86">
        <v>9.1999999999999993</v>
      </c>
      <c r="S86">
        <v>9.8000000000000007</v>
      </c>
      <c r="T86">
        <v>4.7</v>
      </c>
      <c r="U86">
        <v>4.9000000000000004</v>
      </c>
      <c r="V86">
        <v>3</v>
      </c>
      <c r="W86">
        <v>4</v>
      </c>
      <c r="X86">
        <v>7</v>
      </c>
      <c r="Y86">
        <v>4</v>
      </c>
    </row>
    <row r="87" spans="2:27" x14ac:dyDescent="0.2">
      <c r="B87">
        <v>26</v>
      </c>
      <c r="C87">
        <v>2</v>
      </c>
      <c r="D87">
        <v>2</v>
      </c>
      <c r="E87">
        <v>20</v>
      </c>
      <c r="F87">
        <v>11.5</v>
      </c>
      <c r="G87">
        <v>0</v>
      </c>
      <c r="H87">
        <v>1.9000000000000001</v>
      </c>
      <c r="I87">
        <v>0</v>
      </c>
    </row>
    <row r="88" spans="2:27" x14ac:dyDescent="0.2">
      <c r="B88">
        <v>26</v>
      </c>
      <c r="C88">
        <v>3</v>
      </c>
      <c r="D88">
        <v>3</v>
      </c>
      <c r="E88">
        <v>70</v>
      </c>
      <c r="F88">
        <v>15.600000000000001</v>
      </c>
      <c r="G88">
        <v>6.5</v>
      </c>
      <c r="H88">
        <v>0</v>
      </c>
      <c r="I88">
        <v>12.5</v>
      </c>
    </row>
    <row r="89" spans="2:27" x14ac:dyDescent="0.2">
      <c r="B89">
        <v>27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V89">
        <v>0</v>
      </c>
    </row>
    <row r="90" spans="2:27" x14ac:dyDescent="0.2">
      <c r="B90">
        <v>27</v>
      </c>
      <c r="C90">
        <v>2</v>
      </c>
      <c r="D90">
        <v>1</v>
      </c>
      <c r="E90">
        <v>40</v>
      </c>
      <c r="F90">
        <v>17.2</v>
      </c>
      <c r="G90">
        <v>0</v>
      </c>
      <c r="H90">
        <v>4.4000000000000004</v>
      </c>
      <c r="I90">
        <v>0</v>
      </c>
    </row>
    <row r="91" spans="2:27" x14ac:dyDescent="0.2">
      <c r="B91">
        <v>27</v>
      </c>
      <c r="C91">
        <v>3</v>
      </c>
      <c r="D91">
        <v>3</v>
      </c>
      <c r="E91">
        <v>80</v>
      </c>
      <c r="F91">
        <v>11.200000000000001</v>
      </c>
      <c r="G91">
        <v>7.2</v>
      </c>
      <c r="H91">
        <v>0</v>
      </c>
      <c r="I91">
        <v>0</v>
      </c>
    </row>
    <row r="92" spans="2:27" x14ac:dyDescent="0.2">
      <c r="B92">
        <v>28</v>
      </c>
      <c r="C92">
        <v>1</v>
      </c>
      <c r="D92">
        <v>6</v>
      </c>
      <c r="E92">
        <v>60</v>
      </c>
      <c r="F92">
        <v>14.5</v>
      </c>
      <c r="G92">
        <v>6.6000000000000005</v>
      </c>
      <c r="H92">
        <v>0</v>
      </c>
      <c r="I92">
        <v>0</v>
      </c>
      <c r="J92">
        <v>47</v>
      </c>
      <c r="K92">
        <v>4</v>
      </c>
      <c r="L92">
        <v>1.9</v>
      </c>
      <c r="M92">
        <v>1.8</v>
      </c>
      <c r="N92">
        <v>8.1999999999999993</v>
      </c>
      <c r="O92">
        <v>9</v>
      </c>
      <c r="P92">
        <v>9.1999999999999993</v>
      </c>
      <c r="Q92">
        <v>1.1000000000000001</v>
      </c>
      <c r="R92">
        <v>6.5</v>
      </c>
      <c r="S92">
        <v>4</v>
      </c>
      <c r="T92">
        <v>3.2</v>
      </c>
      <c r="U92">
        <v>3.5</v>
      </c>
      <c r="V92">
        <v>27</v>
      </c>
      <c r="W92">
        <v>2</v>
      </c>
      <c r="X92">
        <v>11</v>
      </c>
      <c r="Y92">
        <v>5</v>
      </c>
      <c r="Z92">
        <v>6</v>
      </c>
      <c r="AA92">
        <v>6</v>
      </c>
    </row>
    <row r="93" spans="2:27" x14ac:dyDescent="0.2">
      <c r="B93">
        <v>28</v>
      </c>
      <c r="C93">
        <v>2</v>
      </c>
      <c r="D93">
        <v>3</v>
      </c>
      <c r="E93">
        <v>60</v>
      </c>
      <c r="F93">
        <v>19</v>
      </c>
      <c r="G93">
        <v>8.3000000000000007</v>
      </c>
      <c r="H93">
        <v>0</v>
      </c>
      <c r="I93">
        <v>1</v>
      </c>
    </row>
    <row r="94" spans="2:27" x14ac:dyDescent="0.2">
      <c r="B94">
        <v>28</v>
      </c>
      <c r="C94">
        <v>3</v>
      </c>
      <c r="D94">
        <v>2</v>
      </c>
      <c r="E94">
        <v>70</v>
      </c>
      <c r="F94">
        <v>15.8</v>
      </c>
      <c r="G94">
        <v>13.9</v>
      </c>
      <c r="H94">
        <v>14.200000000000001</v>
      </c>
      <c r="I94">
        <v>0</v>
      </c>
    </row>
    <row r="95" spans="2:27" x14ac:dyDescent="0.2">
      <c r="B95">
        <v>29</v>
      </c>
      <c r="C95">
        <v>1</v>
      </c>
      <c r="D95">
        <v>2</v>
      </c>
      <c r="E95">
        <v>10</v>
      </c>
      <c r="F95">
        <v>8</v>
      </c>
      <c r="G95">
        <v>0</v>
      </c>
      <c r="H95">
        <v>0</v>
      </c>
      <c r="I95">
        <v>5.6000000000000005</v>
      </c>
      <c r="J95">
        <v>6</v>
      </c>
      <c r="K95">
        <v>10</v>
      </c>
      <c r="L95">
        <v>8.1999999999999993</v>
      </c>
      <c r="M95">
        <v>7.7</v>
      </c>
      <c r="N95">
        <v>2</v>
      </c>
      <c r="O95">
        <v>1.5</v>
      </c>
      <c r="P95">
        <v>7.2</v>
      </c>
      <c r="Q95">
        <v>1.5</v>
      </c>
      <c r="V95">
        <v>3</v>
      </c>
      <c r="W95">
        <v>12</v>
      </c>
      <c r="X95">
        <v>6</v>
      </c>
      <c r="Y95">
        <v>5</v>
      </c>
    </row>
    <row r="96" spans="2:27" x14ac:dyDescent="0.2">
      <c r="B96">
        <v>29</v>
      </c>
      <c r="C96">
        <v>2</v>
      </c>
      <c r="D96">
        <v>0</v>
      </c>
      <c r="E96">
        <v>5</v>
      </c>
      <c r="F96">
        <v>1.2000000000000002</v>
      </c>
      <c r="G96">
        <v>0</v>
      </c>
      <c r="H96">
        <v>0</v>
      </c>
      <c r="I96">
        <v>0</v>
      </c>
    </row>
    <row r="97" spans="2:27" x14ac:dyDescent="0.2">
      <c r="B97">
        <v>29</v>
      </c>
      <c r="C97">
        <v>3</v>
      </c>
      <c r="D97">
        <v>3</v>
      </c>
      <c r="E97">
        <v>60</v>
      </c>
      <c r="F97">
        <v>10</v>
      </c>
      <c r="G97">
        <v>6</v>
      </c>
      <c r="H97">
        <v>0</v>
      </c>
      <c r="I97">
        <v>5.1000000000000005</v>
      </c>
    </row>
    <row r="98" spans="2:27" x14ac:dyDescent="0.2">
      <c r="B98">
        <v>30</v>
      </c>
      <c r="C98">
        <v>1</v>
      </c>
      <c r="D98">
        <v>2</v>
      </c>
      <c r="E98">
        <v>10</v>
      </c>
      <c r="F98">
        <v>5.4</v>
      </c>
      <c r="G98">
        <v>0</v>
      </c>
      <c r="H98">
        <v>0</v>
      </c>
      <c r="I98">
        <v>0</v>
      </c>
      <c r="J98">
        <v>5</v>
      </c>
      <c r="K98">
        <v>10</v>
      </c>
      <c r="L98">
        <v>9.1</v>
      </c>
      <c r="M98">
        <v>5.2</v>
      </c>
      <c r="N98">
        <v>1.6</v>
      </c>
      <c r="O98">
        <v>9</v>
      </c>
      <c r="P98">
        <v>4.7</v>
      </c>
      <c r="V98">
        <v>4</v>
      </c>
      <c r="W98">
        <v>3</v>
      </c>
      <c r="X98">
        <v>9</v>
      </c>
      <c r="Y98">
        <v>2</v>
      </c>
      <c r="Z98">
        <v>5</v>
      </c>
    </row>
    <row r="99" spans="2:27" x14ac:dyDescent="0.2">
      <c r="B99">
        <v>30</v>
      </c>
      <c r="C99">
        <v>2</v>
      </c>
      <c r="D99">
        <v>3</v>
      </c>
      <c r="E99">
        <v>80</v>
      </c>
      <c r="F99">
        <v>9.5</v>
      </c>
      <c r="G99">
        <v>9.4</v>
      </c>
      <c r="H99">
        <v>0</v>
      </c>
      <c r="I99">
        <v>0</v>
      </c>
    </row>
    <row r="100" spans="2:27" x14ac:dyDescent="0.2">
      <c r="B100">
        <v>30</v>
      </c>
      <c r="C100">
        <v>3</v>
      </c>
      <c r="D100">
        <v>2</v>
      </c>
      <c r="E100">
        <v>30</v>
      </c>
      <c r="F100">
        <v>7.4</v>
      </c>
      <c r="G100">
        <v>3.2</v>
      </c>
      <c r="H100">
        <v>0</v>
      </c>
      <c r="I100">
        <v>3.6</v>
      </c>
    </row>
    <row r="101" spans="2:27" x14ac:dyDescent="0.2">
      <c r="B101">
        <v>31</v>
      </c>
      <c r="C101">
        <v>1</v>
      </c>
      <c r="D101">
        <v>5</v>
      </c>
      <c r="E101">
        <v>90</v>
      </c>
      <c r="F101">
        <v>18</v>
      </c>
      <c r="G101">
        <v>9.6000000000000014</v>
      </c>
      <c r="H101">
        <v>6.5</v>
      </c>
      <c r="I101">
        <v>0</v>
      </c>
      <c r="J101">
        <v>26</v>
      </c>
      <c r="K101">
        <v>31</v>
      </c>
      <c r="L101">
        <v>7</v>
      </c>
      <c r="M101">
        <v>9.4</v>
      </c>
      <c r="N101">
        <v>7.2</v>
      </c>
      <c r="O101">
        <v>3.2</v>
      </c>
      <c r="P101">
        <v>7.4</v>
      </c>
      <c r="Q101">
        <v>2.6</v>
      </c>
      <c r="R101">
        <v>3.3</v>
      </c>
      <c r="S101">
        <v>3.6</v>
      </c>
      <c r="T101">
        <v>5.2</v>
      </c>
      <c r="U101">
        <v>2.5</v>
      </c>
      <c r="V101">
        <v>11</v>
      </c>
      <c r="W101">
        <v>12</v>
      </c>
      <c r="X101">
        <v>8</v>
      </c>
      <c r="Y101">
        <v>14</v>
      </c>
      <c r="Z101">
        <v>3</v>
      </c>
      <c r="AA101">
        <v>11</v>
      </c>
    </row>
    <row r="102" spans="2:27" x14ac:dyDescent="0.2">
      <c r="B102">
        <v>31</v>
      </c>
      <c r="C102">
        <v>2</v>
      </c>
      <c r="D102">
        <v>4</v>
      </c>
      <c r="E102">
        <v>90</v>
      </c>
      <c r="F102">
        <v>13.100000000000001</v>
      </c>
      <c r="G102">
        <v>11.9</v>
      </c>
      <c r="H102">
        <v>6.1000000000000005</v>
      </c>
      <c r="I102">
        <v>9.6000000000000014</v>
      </c>
    </row>
    <row r="103" spans="2:27" x14ac:dyDescent="0.2">
      <c r="B103">
        <v>31</v>
      </c>
      <c r="C103">
        <v>3</v>
      </c>
      <c r="D103">
        <v>4</v>
      </c>
      <c r="E103">
        <v>100</v>
      </c>
      <c r="F103">
        <v>12.600000000000001</v>
      </c>
      <c r="G103">
        <v>11</v>
      </c>
      <c r="H103">
        <v>6.6000000000000005</v>
      </c>
      <c r="I103">
        <v>6</v>
      </c>
    </row>
    <row r="104" spans="2:27" x14ac:dyDescent="0.2">
      <c r="B104">
        <v>32</v>
      </c>
      <c r="C104">
        <v>1</v>
      </c>
      <c r="D104">
        <v>1</v>
      </c>
      <c r="E104">
        <v>20</v>
      </c>
      <c r="F104">
        <v>4.5</v>
      </c>
      <c r="G104">
        <v>0</v>
      </c>
      <c r="H104">
        <v>0</v>
      </c>
      <c r="I104">
        <v>2.6</v>
      </c>
      <c r="J104">
        <v>3</v>
      </c>
      <c r="K104">
        <v>6</v>
      </c>
      <c r="L104">
        <v>7.4</v>
      </c>
      <c r="M104">
        <v>17</v>
      </c>
      <c r="N104">
        <v>14</v>
      </c>
      <c r="V104">
        <v>4</v>
      </c>
      <c r="W104">
        <v>9</v>
      </c>
      <c r="X104">
        <v>3</v>
      </c>
      <c r="Y104">
        <v>7</v>
      </c>
      <c r="Z104">
        <v>12</v>
      </c>
    </row>
    <row r="105" spans="2:27" x14ac:dyDescent="0.2">
      <c r="B105">
        <v>32</v>
      </c>
      <c r="C105">
        <v>2</v>
      </c>
      <c r="D105">
        <v>0</v>
      </c>
      <c r="E105">
        <v>10</v>
      </c>
      <c r="F105">
        <v>4</v>
      </c>
      <c r="G105">
        <v>0</v>
      </c>
      <c r="H105">
        <v>0</v>
      </c>
      <c r="I105">
        <v>0</v>
      </c>
    </row>
    <row r="106" spans="2:27" x14ac:dyDescent="0.2">
      <c r="B106">
        <v>32</v>
      </c>
      <c r="C106">
        <v>3</v>
      </c>
      <c r="D106">
        <v>0</v>
      </c>
      <c r="E106">
        <v>5</v>
      </c>
      <c r="F106">
        <v>0.2</v>
      </c>
      <c r="G106">
        <v>0</v>
      </c>
      <c r="H106">
        <v>0</v>
      </c>
      <c r="I106">
        <v>0</v>
      </c>
    </row>
    <row r="107" spans="2:27" x14ac:dyDescent="0.2">
      <c r="B107">
        <v>33</v>
      </c>
      <c r="C107">
        <v>1</v>
      </c>
      <c r="D107">
        <v>1</v>
      </c>
      <c r="E107">
        <v>30</v>
      </c>
      <c r="F107">
        <v>2.1</v>
      </c>
      <c r="G107">
        <v>0</v>
      </c>
      <c r="H107">
        <v>0</v>
      </c>
      <c r="I107">
        <v>0</v>
      </c>
      <c r="J107">
        <v>1</v>
      </c>
      <c r="K107">
        <v>7</v>
      </c>
      <c r="L107">
        <v>2.1</v>
      </c>
      <c r="V107">
        <v>0</v>
      </c>
    </row>
    <row r="108" spans="2:27" x14ac:dyDescent="0.2">
      <c r="B108">
        <v>33</v>
      </c>
      <c r="C108">
        <v>2</v>
      </c>
      <c r="D108">
        <v>1</v>
      </c>
      <c r="E108">
        <v>40</v>
      </c>
      <c r="F108">
        <v>8.7000000000000011</v>
      </c>
      <c r="G108">
        <v>6.4</v>
      </c>
      <c r="H108">
        <v>5</v>
      </c>
      <c r="I108">
        <v>0</v>
      </c>
    </row>
    <row r="109" spans="2:27" x14ac:dyDescent="0.2">
      <c r="B109">
        <v>33</v>
      </c>
      <c r="C109">
        <v>3</v>
      </c>
      <c r="D109">
        <v>2</v>
      </c>
      <c r="E109">
        <v>60</v>
      </c>
      <c r="F109">
        <v>11.100000000000001</v>
      </c>
      <c r="G109">
        <v>0</v>
      </c>
      <c r="H109">
        <v>10</v>
      </c>
      <c r="I109">
        <v>7.4</v>
      </c>
    </row>
    <row r="110" spans="2:27" x14ac:dyDescent="0.2">
      <c r="B110">
        <v>34</v>
      </c>
      <c r="C110">
        <v>1</v>
      </c>
      <c r="E110">
        <v>70</v>
      </c>
      <c r="F110">
        <v>8.1</v>
      </c>
      <c r="G110">
        <v>4.6000000000000005</v>
      </c>
      <c r="H110">
        <v>3.1</v>
      </c>
      <c r="I110">
        <v>0</v>
      </c>
      <c r="J110">
        <v>24</v>
      </c>
      <c r="K110">
        <v>40</v>
      </c>
      <c r="L110">
        <v>7.6</v>
      </c>
      <c r="M110">
        <v>7.2</v>
      </c>
      <c r="N110">
        <v>3.2</v>
      </c>
      <c r="O110">
        <v>6.4</v>
      </c>
      <c r="P110">
        <v>6.2</v>
      </c>
      <c r="Q110">
        <v>5.0999999999999996</v>
      </c>
      <c r="R110">
        <v>5.2</v>
      </c>
      <c r="S110">
        <v>2.2000000000000002</v>
      </c>
      <c r="T110">
        <v>5.3</v>
      </c>
      <c r="U110">
        <v>3.7</v>
      </c>
      <c r="V110">
        <v>41</v>
      </c>
      <c r="W110">
        <v>9</v>
      </c>
      <c r="X110">
        <v>13</v>
      </c>
      <c r="Y110">
        <v>12</v>
      </c>
      <c r="Z110">
        <v>3</v>
      </c>
      <c r="AA110">
        <v>7</v>
      </c>
    </row>
    <row r="111" spans="2:27" x14ac:dyDescent="0.2">
      <c r="B111">
        <v>34</v>
      </c>
      <c r="C111">
        <v>2</v>
      </c>
      <c r="D111">
        <v>3</v>
      </c>
      <c r="E111">
        <v>60</v>
      </c>
      <c r="F111">
        <v>6.9</v>
      </c>
      <c r="G111">
        <v>4.9000000000000004</v>
      </c>
      <c r="H111">
        <v>5.9</v>
      </c>
      <c r="I111">
        <v>0</v>
      </c>
    </row>
    <row r="112" spans="2:27" x14ac:dyDescent="0.2">
      <c r="B112">
        <v>34</v>
      </c>
      <c r="C112">
        <v>3</v>
      </c>
      <c r="D112">
        <v>4</v>
      </c>
      <c r="E112">
        <v>100</v>
      </c>
      <c r="F112">
        <v>11.600000000000001</v>
      </c>
      <c r="G112">
        <v>8.3000000000000007</v>
      </c>
      <c r="H112">
        <v>8.6</v>
      </c>
      <c r="I112">
        <v>3.1</v>
      </c>
    </row>
    <row r="113" spans="2:27" x14ac:dyDescent="0.2">
      <c r="B113">
        <v>35</v>
      </c>
      <c r="C113">
        <v>1</v>
      </c>
      <c r="D113">
        <v>1</v>
      </c>
      <c r="E113">
        <v>40</v>
      </c>
      <c r="F113">
        <v>7.2</v>
      </c>
      <c r="G113">
        <v>5.1000000000000005</v>
      </c>
      <c r="H113">
        <v>4.2</v>
      </c>
      <c r="I113">
        <v>0</v>
      </c>
      <c r="J113">
        <v>10</v>
      </c>
      <c r="K113">
        <v>3</v>
      </c>
      <c r="L113">
        <v>7.8</v>
      </c>
      <c r="M113">
        <v>6.7</v>
      </c>
      <c r="N113">
        <v>6.1</v>
      </c>
      <c r="O113">
        <v>4</v>
      </c>
      <c r="P113">
        <v>4.9000000000000004</v>
      </c>
      <c r="Q113">
        <v>4.8</v>
      </c>
      <c r="R113">
        <v>3.6</v>
      </c>
      <c r="S113">
        <v>2.2999999999999998</v>
      </c>
      <c r="T113">
        <v>2.2000000000000002</v>
      </c>
      <c r="U113">
        <v>4.2</v>
      </c>
      <c r="V113">
        <v>0</v>
      </c>
    </row>
    <row r="114" spans="2:27" x14ac:dyDescent="0.2">
      <c r="B114">
        <v>35</v>
      </c>
      <c r="C114">
        <v>2</v>
      </c>
      <c r="D114">
        <v>1</v>
      </c>
      <c r="E114">
        <v>50</v>
      </c>
      <c r="F114">
        <v>15</v>
      </c>
      <c r="G114">
        <v>6.4</v>
      </c>
      <c r="H114">
        <v>0</v>
      </c>
      <c r="I114">
        <v>0</v>
      </c>
    </row>
    <row r="115" spans="2:27" x14ac:dyDescent="0.2">
      <c r="B115">
        <v>35</v>
      </c>
      <c r="C115">
        <v>3</v>
      </c>
      <c r="D115">
        <v>2</v>
      </c>
      <c r="E115">
        <v>60</v>
      </c>
      <c r="F115">
        <v>12.8</v>
      </c>
      <c r="G115">
        <v>6.5</v>
      </c>
      <c r="H115">
        <v>5.1000000000000005</v>
      </c>
      <c r="I115">
        <v>0</v>
      </c>
    </row>
    <row r="116" spans="2:27" x14ac:dyDescent="0.2">
      <c r="B116">
        <v>36</v>
      </c>
      <c r="C116">
        <v>1</v>
      </c>
      <c r="D116">
        <v>6</v>
      </c>
      <c r="E116">
        <v>80</v>
      </c>
      <c r="F116">
        <v>18.3</v>
      </c>
      <c r="G116">
        <v>11.700000000000001</v>
      </c>
      <c r="H116">
        <v>0</v>
      </c>
      <c r="I116">
        <v>11.5</v>
      </c>
      <c r="J116">
        <v>34</v>
      </c>
      <c r="K116">
        <v>58</v>
      </c>
      <c r="L116">
        <v>3.8</v>
      </c>
      <c r="M116">
        <v>2.2000000000000002</v>
      </c>
      <c r="N116">
        <v>6.4</v>
      </c>
      <c r="O116">
        <v>4.5999999999999996</v>
      </c>
      <c r="P116">
        <v>9.1</v>
      </c>
      <c r="Q116">
        <v>5.9</v>
      </c>
      <c r="R116">
        <v>7.8</v>
      </c>
      <c r="S116">
        <v>4.8</v>
      </c>
      <c r="T116">
        <v>8.6999999999999993</v>
      </c>
      <c r="U116">
        <v>3.6</v>
      </c>
      <c r="V116">
        <v>12</v>
      </c>
      <c r="W116">
        <v>9</v>
      </c>
      <c r="X116">
        <v>5</v>
      </c>
      <c r="Y116">
        <v>7</v>
      </c>
      <c r="Z116">
        <v>11</v>
      </c>
      <c r="AA116">
        <v>4</v>
      </c>
    </row>
    <row r="117" spans="2:27" x14ac:dyDescent="0.2">
      <c r="B117">
        <v>36</v>
      </c>
      <c r="C117">
        <v>2</v>
      </c>
      <c r="D117">
        <v>4</v>
      </c>
      <c r="E117">
        <v>100</v>
      </c>
      <c r="F117">
        <v>12.4</v>
      </c>
      <c r="G117">
        <v>7.5</v>
      </c>
      <c r="H117">
        <v>7.2</v>
      </c>
      <c r="I117">
        <v>2.6</v>
      </c>
    </row>
    <row r="118" spans="2:27" x14ac:dyDescent="0.2">
      <c r="B118">
        <v>36</v>
      </c>
      <c r="C118">
        <v>3</v>
      </c>
      <c r="D118">
        <v>2</v>
      </c>
      <c r="E118">
        <v>70</v>
      </c>
      <c r="F118">
        <v>15.100000000000001</v>
      </c>
      <c r="G118">
        <v>6</v>
      </c>
      <c r="H118">
        <v>0</v>
      </c>
      <c r="I118">
        <v>5.5</v>
      </c>
    </row>
    <row r="119" spans="2:27" x14ac:dyDescent="0.2">
      <c r="B119">
        <v>37</v>
      </c>
      <c r="C119">
        <v>1</v>
      </c>
      <c r="D119">
        <v>1</v>
      </c>
      <c r="E119">
        <v>20</v>
      </c>
      <c r="F119">
        <v>6.5</v>
      </c>
      <c r="G119">
        <v>0</v>
      </c>
      <c r="H119">
        <v>0</v>
      </c>
      <c r="I119">
        <v>0</v>
      </c>
      <c r="J119">
        <v>1</v>
      </c>
      <c r="K119">
        <v>11</v>
      </c>
      <c r="L119">
        <v>2.2999999999999998</v>
      </c>
    </row>
    <row r="120" spans="2:27" x14ac:dyDescent="0.2">
      <c r="B120">
        <v>37</v>
      </c>
      <c r="C120">
        <v>2</v>
      </c>
      <c r="D120">
        <v>2</v>
      </c>
      <c r="E120">
        <v>20</v>
      </c>
      <c r="F120">
        <v>9.6000000000000014</v>
      </c>
      <c r="G120">
        <v>0</v>
      </c>
      <c r="H120">
        <v>6.1000000000000005</v>
      </c>
      <c r="I120">
        <v>0</v>
      </c>
    </row>
    <row r="121" spans="2:27" x14ac:dyDescent="0.2">
      <c r="B121">
        <v>37</v>
      </c>
      <c r="C121">
        <v>3</v>
      </c>
      <c r="D121">
        <v>2</v>
      </c>
      <c r="E121">
        <v>80</v>
      </c>
      <c r="F121">
        <v>9</v>
      </c>
      <c r="G121">
        <v>0</v>
      </c>
      <c r="H121">
        <v>3.6</v>
      </c>
      <c r="I121">
        <v>5.3000000000000007</v>
      </c>
    </row>
    <row r="122" spans="2:27" x14ac:dyDescent="0.2">
      <c r="B122">
        <v>38</v>
      </c>
      <c r="C122">
        <v>1</v>
      </c>
      <c r="D122">
        <v>6</v>
      </c>
      <c r="E122">
        <v>80</v>
      </c>
      <c r="F122">
        <v>18.100000000000001</v>
      </c>
      <c r="G122">
        <v>8.6</v>
      </c>
      <c r="H122">
        <v>0</v>
      </c>
      <c r="I122">
        <v>9.6000000000000014</v>
      </c>
      <c r="J122">
        <v>28</v>
      </c>
      <c r="K122">
        <v>64</v>
      </c>
      <c r="L122">
        <v>5.2</v>
      </c>
      <c r="M122">
        <v>5.4</v>
      </c>
      <c r="N122">
        <v>2.9</v>
      </c>
      <c r="O122">
        <v>3.9</v>
      </c>
      <c r="P122">
        <v>4.0999999999999996</v>
      </c>
      <c r="Q122">
        <v>5.2</v>
      </c>
      <c r="R122">
        <v>9.9</v>
      </c>
      <c r="S122">
        <v>7.2</v>
      </c>
      <c r="T122">
        <v>6.7</v>
      </c>
      <c r="U122">
        <v>7.1</v>
      </c>
      <c r="V122">
        <v>7</v>
      </c>
      <c r="W122">
        <v>6</v>
      </c>
      <c r="X122">
        <v>13</v>
      </c>
      <c r="Y122">
        <v>7</v>
      </c>
      <c r="Z122">
        <v>4</v>
      </c>
      <c r="AA122">
        <v>10</v>
      </c>
    </row>
    <row r="123" spans="2:27" x14ac:dyDescent="0.2">
      <c r="B123">
        <v>38</v>
      </c>
      <c r="C123">
        <v>2</v>
      </c>
      <c r="D123">
        <v>3</v>
      </c>
      <c r="E123">
        <v>90</v>
      </c>
      <c r="F123">
        <v>18.2</v>
      </c>
      <c r="G123">
        <v>7.1000000000000005</v>
      </c>
      <c r="H123">
        <v>5.2</v>
      </c>
      <c r="I123">
        <v>4</v>
      </c>
    </row>
    <row r="124" spans="2:27" x14ac:dyDescent="0.2">
      <c r="B124">
        <v>38</v>
      </c>
      <c r="C124">
        <v>3</v>
      </c>
      <c r="D124">
        <v>5</v>
      </c>
      <c r="E124">
        <v>80</v>
      </c>
      <c r="F124">
        <v>10.8</v>
      </c>
      <c r="G124">
        <v>2.2000000000000002</v>
      </c>
      <c r="H124">
        <v>3.1</v>
      </c>
      <c r="I124">
        <v>5.5</v>
      </c>
    </row>
    <row r="125" spans="2:27" x14ac:dyDescent="0.2">
      <c r="B125">
        <v>39</v>
      </c>
      <c r="C125">
        <v>1</v>
      </c>
      <c r="D125">
        <v>1</v>
      </c>
      <c r="E125">
        <v>10</v>
      </c>
      <c r="F125">
        <v>4</v>
      </c>
      <c r="G125">
        <v>0</v>
      </c>
      <c r="H125">
        <v>0</v>
      </c>
      <c r="I125">
        <v>1.6</v>
      </c>
      <c r="J125">
        <v>0</v>
      </c>
      <c r="K125">
        <v>15</v>
      </c>
      <c r="V125">
        <v>0</v>
      </c>
    </row>
    <row r="126" spans="2:27" x14ac:dyDescent="0.2">
      <c r="B126">
        <v>39</v>
      </c>
      <c r="C126">
        <v>2</v>
      </c>
      <c r="D126">
        <v>4</v>
      </c>
      <c r="E126">
        <v>80</v>
      </c>
      <c r="F126">
        <v>10.5</v>
      </c>
      <c r="G126">
        <v>5.9</v>
      </c>
      <c r="H126">
        <v>7.6000000000000005</v>
      </c>
      <c r="I126">
        <v>7.2</v>
      </c>
    </row>
    <row r="127" spans="2:27" x14ac:dyDescent="0.2">
      <c r="B127">
        <v>39</v>
      </c>
      <c r="C127">
        <v>3</v>
      </c>
      <c r="D127">
        <v>2</v>
      </c>
      <c r="E127">
        <v>10</v>
      </c>
      <c r="F127">
        <v>8.5</v>
      </c>
      <c r="G127">
        <v>0.30000000000000004</v>
      </c>
      <c r="H127">
        <v>0</v>
      </c>
      <c r="I127">
        <v>0</v>
      </c>
    </row>
    <row r="128" spans="2:27" x14ac:dyDescent="0.2">
      <c r="B128">
        <v>40</v>
      </c>
      <c r="C128">
        <v>1</v>
      </c>
      <c r="D128">
        <v>6</v>
      </c>
      <c r="E128">
        <v>70</v>
      </c>
      <c r="F128">
        <v>18.600000000000001</v>
      </c>
      <c r="G128">
        <v>0</v>
      </c>
      <c r="H128">
        <v>16.400000000000002</v>
      </c>
      <c r="I128">
        <v>0</v>
      </c>
      <c r="J128">
        <v>29</v>
      </c>
      <c r="K128">
        <v>53</v>
      </c>
      <c r="L128">
        <v>5.6</v>
      </c>
      <c r="M128">
        <v>5.6</v>
      </c>
      <c r="N128">
        <v>6.9</v>
      </c>
      <c r="O128">
        <v>4.7</v>
      </c>
      <c r="P128">
        <v>9</v>
      </c>
      <c r="Q128">
        <v>8.4</v>
      </c>
      <c r="R128">
        <v>8.1</v>
      </c>
      <c r="S128">
        <v>637</v>
      </c>
      <c r="T128">
        <v>7.4</v>
      </c>
      <c r="U128">
        <v>6.2</v>
      </c>
      <c r="V128">
        <v>5</v>
      </c>
      <c r="W128">
        <v>9</v>
      </c>
      <c r="X128">
        <v>8</v>
      </c>
      <c r="Y128">
        <v>3</v>
      </c>
      <c r="Z128">
        <v>6</v>
      </c>
      <c r="AA128">
        <v>13</v>
      </c>
    </row>
    <row r="129" spans="2:27" x14ac:dyDescent="0.2">
      <c r="B129">
        <v>40</v>
      </c>
      <c r="C129">
        <v>2</v>
      </c>
      <c r="D129">
        <v>4</v>
      </c>
      <c r="E129">
        <v>60</v>
      </c>
      <c r="F129">
        <v>13.100000000000001</v>
      </c>
      <c r="G129">
        <v>12.600000000000001</v>
      </c>
      <c r="H129">
        <v>0</v>
      </c>
      <c r="I129">
        <v>8.5</v>
      </c>
    </row>
    <row r="130" spans="2:27" x14ac:dyDescent="0.2">
      <c r="B130">
        <v>40</v>
      </c>
      <c r="C130">
        <v>3</v>
      </c>
      <c r="D130">
        <v>1</v>
      </c>
      <c r="E130">
        <v>10</v>
      </c>
      <c r="F130">
        <v>13.600000000000001</v>
      </c>
      <c r="G130">
        <v>0</v>
      </c>
      <c r="H130">
        <v>0</v>
      </c>
      <c r="I130">
        <v>0</v>
      </c>
    </row>
    <row r="131" spans="2:27" x14ac:dyDescent="0.2">
      <c r="B131">
        <v>41</v>
      </c>
      <c r="C131">
        <v>1</v>
      </c>
      <c r="D131">
        <v>6</v>
      </c>
      <c r="E131">
        <v>95</v>
      </c>
      <c r="F131">
        <v>17.100000000000001</v>
      </c>
      <c r="G131">
        <v>10.600000000000001</v>
      </c>
      <c r="H131">
        <v>0</v>
      </c>
      <c r="I131">
        <v>12</v>
      </c>
      <c r="J131">
        <v>73</v>
      </c>
      <c r="K131">
        <v>48</v>
      </c>
      <c r="L131">
        <v>7.1</v>
      </c>
      <c r="M131">
        <v>10</v>
      </c>
      <c r="N131">
        <v>2.6</v>
      </c>
      <c r="O131">
        <v>3.8</v>
      </c>
      <c r="P131">
        <v>2.2000000000000002</v>
      </c>
      <c r="Q131">
        <v>3.1</v>
      </c>
      <c r="R131">
        <v>8.1</v>
      </c>
      <c r="S131">
        <v>3.7</v>
      </c>
      <c r="T131">
        <v>4.0999999999999996</v>
      </c>
      <c r="U131">
        <v>3.6</v>
      </c>
      <c r="V131">
        <v>13</v>
      </c>
      <c r="W131">
        <v>12</v>
      </c>
      <c r="X131">
        <v>4</v>
      </c>
      <c r="Y131">
        <v>5</v>
      </c>
      <c r="Z131">
        <v>10</v>
      </c>
      <c r="AA131">
        <v>6</v>
      </c>
    </row>
    <row r="132" spans="2:27" x14ac:dyDescent="0.2">
      <c r="B132">
        <v>41</v>
      </c>
      <c r="C132">
        <v>2</v>
      </c>
      <c r="D132">
        <v>4</v>
      </c>
      <c r="E132">
        <v>90</v>
      </c>
      <c r="F132">
        <v>16.600000000000001</v>
      </c>
      <c r="G132">
        <v>16.100000000000001</v>
      </c>
      <c r="H132">
        <v>7.4</v>
      </c>
      <c r="I132">
        <v>6.1000000000000005</v>
      </c>
    </row>
    <row r="133" spans="2:27" x14ac:dyDescent="0.2">
      <c r="B133">
        <v>41</v>
      </c>
      <c r="C133">
        <v>3</v>
      </c>
      <c r="D133">
        <v>5</v>
      </c>
      <c r="E133">
        <v>100</v>
      </c>
      <c r="F133">
        <v>13.600000000000001</v>
      </c>
      <c r="G133">
        <v>12.100000000000001</v>
      </c>
      <c r="H133">
        <v>5</v>
      </c>
      <c r="I133">
        <v>7.1000000000000005</v>
      </c>
    </row>
    <row r="134" spans="2:27" x14ac:dyDescent="0.2">
      <c r="B134">
        <v>42</v>
      </c>
      <c r="C134">
        <v>1</v>
      </c>
      <c r="D134">
        <v>4</v>
      </c>
      <c r="E134">
        <v>80</v>
      </c>
      <c r="F134">
        <v>13.200000000000001</v>
      </c>
      <c r="G134">
        <v>16.900000000000002</v>
      </c>
      <c r="H134">
        <v>9.2000000000000011</v>
      </c>
      <c r="I134">
        <v>10.5</v>
      </c>
      <c r="J134">
        <v>12</v>
      </c>
      <c r="K134">
        <v>62</v>
      </c>
      <c r="L134">
        <v>7.3</v>
      </c>
      <c r="M134">
        <v>7.4</v>
      </c>
      <c r="N134">
        <v>5.2</v>
      </c>
      <c r="O134">
        <v>5.3</v>
      </c>
      <c r="P134">
        <v>5.2</v>
      </c>
      <c r="Q134">
        <v>4.3</v>
      </c>
      <c r="R134">
        <v>6.5</v>
      </c>
      <c r="S134">
        <v>8.9</v>
      </c>
      <c r="T134">
        <v>7.6</v>
      </c>
      <c r="U134">
        <v>2.6</v>
      </c>
      <c r="V134">
        <v>1</v>
      </c>
      <c r="W134">
        <v>7</v>
      </c>
    </row>
    <row r="135" spans="2:27" x14ac:dyDescent="0.2">
      <c r="B135">
        <v>42</v>
      </c>
      <c r="C135">
        <v>2</v>
      </c>
      <c r="D135">
        <v>4</v>
      </c>
      <c r="E135">
        <v>100</v>
      </c>
      <c r="F135">
        <v>13</v>
      </c>
      <c r="G135">
        <v>7.5</v>
      </c>
      <c r="H135">
        <v>5.2</v>
      </c>
      <c r="I135">
        <v>2.5</v>
      </c>
    </row>
    <row r="136" spans="2:27" x14ac:dyDescent="0.2">
      <c r="B136">
        <v>42</v>
      </c>
      <c r="C136">
        <v>3</v>
      </c>
      <c r="D136">
        <v>2</v>
      </c>
      <c r="E136">
        <v>60</v>
      </c>
      <c r="F136">
        <v>17.5</v>
      </c>
      <c r="G136">
        <v>0</v>
      </c>
      <c r="H136">
        <v>0</v>
      </c>
      <c r="I136">
        <v>15</v>
      </c>
    </row>
    <row r="137" spans="2:27" x14ac:dyDescent="0.2">
      <c r="B137">
        <v>43</v>
      </c>
      <c r="C137">
        <v>1</v>
      </c>
      <c r="D137">
        <v>3</v>
      </c>
      <c r="E137">
        <v>10</v>
      </c>
      <c r="F137">
        <v>5.2</v>
      </c>
      <c r="G137">
        <v>0</v>
      </c>
      <c r="H137">
        <v>0</v>
      </c>
      <c r="I137">
        <v>3.6</v>
      </c>
      <c r="J137">
        <v>10</v>
      </c>
      <c r="K137">
        <v>15</v>
      </c>
      <c r="L137">
        <v>6.2</v>
      </c>
      <c r="M137">
        <v>2.4</v>
      </c>
      <c r="N137">
        <v>4.2</v>
      </c>
      <c r="O137">
        <v>2.4</v>
      </c>
      <c r="P137">
        <v>1.4</v>
      </c>
      <c r="Q137">
        <v>2.8</v>
      </c>
      <c r="R137">
        <v>4.5</v>
      </c>
      <c r="S137">
        <v>4</v>
      </c>
      <c r="T137">
        <v>6.9</v>
      </c>
      <c r="U137">
        <v>1.6</v>
      </c>
      <c r="V137">
        <v>7</v>
      </c>
      <c r="W137">
        <v>5</v>
      </c>
      <c r="X137">
        <v>9</v>
      </c>
      <c r="Y137">
        <v>3</v>
      </c>
      <c r="Z137">
        <v>4</v>
      </c>
      <c r="AA137">
        <v>3</v>
      </c>
    </row>
    <row r="138" spans="2:27" x14ac:dyDescent="0.2">
      <c r="B138">
        <v>43</v>
      </c>
      <c r="C138">
        <v>2</v>
      </c>
      <c r="D138">
        <v>2</v>
      </c>
      <c r="E138">
        <v>30</v>
      </c>
      <c r="F138">
        <v>7.2</v>
      </c>
      <c r="G138">
        <v>0</v>
      </c>
      <c r="H138">
        <v>0</v>
      </c>
      <c r="I138">
        <v>0</v>
      </c>
    </row>
    <row r="139" spans="2:27" x14ac:dyDescent="0.2">
      <c r="B139">
        <v>43</v>
      </c>
      <c r="C139">
        <v>3</v>
      </c>
      <c r="D139">
        <v>3</v>
      </c>
      <c r="E139">
        <v>60</v>
      </c>
      <c r="F139">
        <v>7.9</v>
      </c>
      <c r="G139">
        <v>0</v>
      </c>
      <c r="H139">
        <v>8.4</v>
      </c>
      <c r="I139">
        <v>0</v>
      </c>
    </row>
    <row r="140" spans="2:27" x14ac:dyDescent="0.2">
      <c r="B140">
        <v>44</v>
      </c>
      <c r="C140">
        <v>1</v>
      </c>
      <c r="D140">
        <v>5</v>
      </c>
      <c r="E140">
        <v>80</v>
      </c>
      <c r="F140">
        <v>14</v>
      </c>
      <c r="G140">
        <v>0</v>
      </c>
      <c r="H140">
        <v>6.5</v>
      </c>
      <c r="I140">
        <v>10.5</v>
      </c>
      <c r="J140">
        <v>30</v>
      </c>
      <c r="K140">
        <v>71</v>
      </c>
      <c r="L140">
        <v>9</v>
      </c>
      <c r="M140">
        <v>3.7</v>
      </c>
      <c r="N140">
        <v>2.5</v>
      </c>
      <c r="O140">
        <v>4.8</v>
      </c>
      <c r="P140">
        <v>5.7</v>
      </c>
      <c r="Q140">
        <v>3.8</v>
      </c>
      <c r="R140">
        <v>2</v>
      </c>
      <c r="S140">
        <v>2.2999999999999998</v>
      </c>
      <c r="T140">
        <v>3.8</v>
      </c>
      <c r="U140">
        <v>5.9</v>
      </c>
      <c r="W140">
        <v>13</v>
      </c>
      <c r="X140">
        <v>10</v>
      </c>
      <c r="Y140">
        <v>3</v>
      </c>
    </row>
    <row r="141" spans="2:27" x14ac:dyDescent="0.2">
      <c r="B141">
        <v>44</v>
      </c>
      <c r="C141">
        <v>2</v>
      </c>
      <c r="D141">
        <v>3</v>
      </c>
      <c r="E141">
        <v>60</v>
      </c>
      <c r="F141">
        <v>14.700000000000001</v>
      </c>
      <c r="G141">
        <v>6.5</v>
      </c>
      <c r="H141">
        <v>0</v>
      </c>
      <c r="I141">
        <v>9</v>
      </c>
    </row>
    <row r="142" spans="2:27" x14ac:dyDescent="0.2">
      <c r="B142">
        <v>44</v>
      </c>
      <c r="C142">
        <v>3</v>
      </c>
      <c r="D142">
        <v>1</v>
      </c>
      <c r="E142">
        <v>30</v>
      </c>
      <c r="F142">
        <v>13.600000000000001</v>
      </c>
      <c r="G142">
        <v>0</v>
      </c>
      <c r="H142">
        <v>4.4000000000000004</v>
      </c>
      <c r="I142">
        <v>0</v>
      </c>
    </row>
    <row r="143" spans="2:27" x14ac:dyDescent="0.2">
      <c r="B143">
        <v>45</v>
      </c>
      <c r="C143">
        <v>1</v>
      </c>
      <c r="D143">
        <v>2</v>
      </c>
      <c r="E143">
        <v>40</v>
      </c>
      <c r="F143">
        <v>7.5</v>
      </c>
      <c r="G143">
        <v>2.5</v>
      </c>
      <c r="H143">
        <v>3.7</v>
      </c>
      <c r="I143">
        <v>0</v>
      </c>
      <c r="J143">
        <v>15</v>
      </c>
      <c r="K143">
        <v>13</v>
      </c>
      <c r="L143">
        <v>5.6</v>
      </c>
      <c r="M143">
        <v>4.4000000000000004</v>
      </c>
      <c r="N143">
        <v>4.7</v>
      </c>
      <c r="O143">
        <v>2</v>
      </c>
      <c r="P143">
        <v>2.9</v>
      </c>
      <c r="Q143">
        <v>4.8</v>
      </c>
      <c r="R143">
        <v>8.1999999999999993</v>
      </c>
      <c r="S143">
        <v>7.4</v>
      </c>
      <c r="T143">
        <v>1.3</v>
      </c>
      <c r="U143">
        <v>5.6</v>
      </c>
      <c r="V143">
        <v>2</v>
      </c>
      <c r="W143">
        <v>10</v>
      </c>
      <c r="X143">
        <v>5</v>
      </c>
    </row>
    <row r="144" spans="2:27" x14ac:dyDescent="0.2">
      <c r="B144">
        <v>45</v>
      </c>
      <c r="C144">
        <v>2</v>
      </c>
      <c r="D144">
        <v>4</v>
      </c>
      <c r="E144">
        <v>60</v>
      </c>
      <c r="F144">
        <v>14.5</v>
      </c>
      <c r="G144">
        <v>12.100000000000001</v>
      </c>
      <c r="H144">
        <v>10.200000000000001</v>
      </c>
      <c r="I144">
        <v>0</v>
      </c>
    </row>
    <row r="145" spans="2:27" x14ac:dyDescent="0.2">
      <c r="B145">
        <v>45</v>
      </c>
      <c r="C145">
        <v>3</v>
      </c>
      <c r="D145">
        <v>4</v>
      </c>
      <c r="E145">
        <v>70</v>
      </c>
      <c r="F145">
        <v>7.9</v>
      </c>
      <c r="G145">
        <v>4.2</v>
      </c>
      <c r="H145">
        <v>0</v>
      </c>
      <c r="I145">
        <v>6.2</v>
      </c>
    </row>
    <row r="146" spans="2:27" x14ac:dyDescent="0.2">
      <c r="B146">
        <v>46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V146">
        <v>0</v>
      </c>
    </row>
    <row r="147" spans="2:27" x14ac:dyDescent="0.2">
      <c r="B147">
        <v>46</v>
      </c>
      <c r="C147">
        <v>2</v>
      </c>
      <c r="D147">
        <v>2</v>
      </c>
      <c r="E147">
        <v>10</v>
      </c>
      <c r="F147">
        <v>4.8000000000000007</v>
      </c>
      <c r="G147">
        <v>0</v>
      </c>
      <c r="H147">
        <v>0</v>
      </c>
      <c r="I147">
        <v>0</v>
      </c>
    </row>
    <row r="148" spans="2:27" x14ac:dyDescent="0.2">
      <c r="B148">
        <v>46</v>
      </c>
      <c r="C148">
        <v>3</v>
      </c>
      <c r="D148">
        <v>2</v>
      </c>
      <c r="E148">
        <v>50</v>
      </c>
      <c r="F148">
        <v>10.600000000000001</v>
      </c>
      <c r="G148">
        <v>4.1000000000000005</v>
      </c>
      <c r="H148">
        <v>0</v>
      </c>
      <c r="I148">
        <v>0</v>
      </c>
    </row>
    <row r="149" spans="2:27" x14ac:dyDescent="0.2">
      <c r="B149">
        <v>47</v>
      </c>
      <c r="C149">
        <v>1</v>
      </c>
      <c r="D149">
        <v>4</v>
      </c>
      <c r="E149">
        <v>60</v>
      </c>
      <c r="F149">
        <v>15.9</v>
      </c>
      <c r="G149">
        <v>0</v>
      </c>
      <c r="H149">
        <v>7.2</v>
      </c>
      <c r="I149">
        <v>5</v>
      </c>
      <c r="J149">
        <v>39</v>
      </c>
      <c r="K149">
        <v>72</v>
      </c>
      <c r="L149">
        <v>1.9</v>
      </c>
      <c r="M149">
        <v>6.5</v>
      </c>
      <c r="N149">
        <v>2.2000000000000002</v>
      </c>
      <c r="O149">
        <v>2.5</v>
      </c>
      <c r="P149">
        <v>8.5</v>
      </c>
      <c r="Q149">
        <v>2.9</v>
      </c>
      <c r="R149">
        <v>6.1</v>
      </c>
      <c r="S149">
        <v>8.6</v>
      </c>
      <c r="T149">
        <v>5.7</v>
      </c>
      <c r="U149">
        <v>8.6</v>
      </c>
      <c r="V149">
        <v>9</v>
      </c>
      <c r="W149">
        <v>11</v>
      </c>
      <c r="X149">
        <v>3</v>
      </c>
      <c r="Y149">
        <v>12</v>
      </c>
      <c r="Z149">
        <v>13</v>
      </c>
      <c r="AA149">
        <v>2</v>
      </c>
    </row>
    <row r="150" spans="2:27" x14ac:dyDescent="0.2">
      <c r="B150">
        <v>47</v>
      </c>
      <c r="C150">
        <v>2</v>
      </c>
      <c r="D150">
        <v>3</v>
      </c>
      <c r="E150">
        <v>100</v>
      </c>
      <c r="F150">
        <v>15.200000000000001</v>
      </c>
      <c r="G150">
        <v>2</v>
      </c>
      <c r="H150">
        <v>5.3000000000000007</v>
      </c>
      <c r="I150">
        <v>10.200000000000001</v>
      </c>
    </row>
    <row r="151" spans="2:27" x14ac:dyDescent="0.2">
      <c r="B151">
        <v>47</v>
      </c>
      <c r="C151">
        <v>3</v>
      </c>
      <c r="D151">
        <v>2</v>
      </c>
      <c r="E151">
        <v>70</v>
      </c>
      <c r="F151">
        <v>10.9</v>
      </c>
      <c r="G151">
        <v>10.5</v>
      </c>
      <c r="H151">
        <v>0</v>
      </c>
      <c r="I151">
        <v>2.2000000000000002</v>
      </c>
    </row>
    <row r="152" spans="2:27" x14ac:dyDescent="0.2">
      <c r="B152">
        <v>48</v>
      </c>
      <c r="C152">
        <v>1</v>
      </c>
      <c r="D152">
        <v>4</v>
      </c>
      <c r="E152">
        <v>90</v>
      </c>
      <c r="F152">
        <v>20.6</v>
      </c>
      <c r="G152">
        <v>8.5</v>
      </c>
      <c r="H152">
        <v>3</v>
      </c>
      <c r="I152">
        <v>0</v>
      </c>
      <c r="J152">
        <v>51</v>
      </c>
      <c r="K152">
        <v>53</v>
      </c>
      <c r="L152">
        <v>5.4</v>
      </c>
      <c r="M152">
        <v>6.4</v>
      </c>
      <c r="N152">
        <v>5.2</v>
      </c>
      <c r="O152">
        <v>5.9</v>
      </c>
      <c r="P152">
        <v>2.8</v>
      </c>
      <c r="Q152">
        <v>4.5999999999999996</v>
      </c>
      <c r="R152">
        <v>2.2999999999999998</v>
      </c>
      <c r="S152">
        <v>5</v>
      </c>
      <c r="T152">
        <v>8</v>
      </c>
      <c r="U152">
        <v>5.6</v>
      </c>
      <c r="V152">
        <v>4</v>
      </c>
      <c r="W152">
        <v>12</v>
      </c>
      <c r="X152">
        <v>11</v>
      </c>
      <c r="Y152">
        <v>3</v>
      </c>
      <c r="Z152">
        <v>11</v>
      </c>
    </row>
    <row r="153" spans="2:27" x14ac:dyDescent="0.2">
      <c r="B153">
        <v>48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2:27" x14ac:dyDescent="0.2">
      <c r="B154">
        <v>48</v>
      </c>
      <c r="C154">
        <v>3</v>
      </c>
      <c r="D154">
        <v>1</v>
      </c>
      <c r="E154">
        <v>30</v>
      </c>
      <c r="F154">
        <v>15.600000000000001</v>
      </c>
      <c r="G154">
        <v>0</v>
      </c>
      <c r="H154">
        <v>0</v>
      </c>
      <c r="I154">
        <v>10.5</v>
      </c>
    </row>
    <row r="155" spans="2:27" x14ac:dyDescent="0.2">
      <c r="B155">
        <v>49</v>
      </c>
      <c r="C155">
        <v>1</v>
      </c>
      <c r="D155">
        <v>2</v>
      </c>
      <c r="E155">
        <v>40</v>
      </c>
      <c r="F155">
        <v>7</v>
      </c>
      <c r="G155">
        <v>0</v>
      </c>
      <c r="H155">
        <v>4.9000000000000004</v>
      </c>
      <c r="I155">
        <v>5.1000000000000005</v>
      </c>
      <c r="J155">
        <v>12</v>
      </c>
      <c r="K155">
        <v>35</v>
      </c>
      <c r="L155">
        <v>5.2</v>
      </c>
      <c r="M155">
        <v>4.9000000000000004</v>
      </c>
      <c r="N155">
        <v>2.6</v>
      </c>
      <c r="O155">
        <v>1.6</v>
      </c>
      <c r="P155">
        <v>4.0999999999999996</v>
      </c>
      <c r="Q155">
        <v>2.1</v>
      </c>
      <c r="R155">
        <v>2.2000000000000002</v>
      </c>
      <c r="S155">
        <v>1.7</v>
      </c>
      <c r="T155">
        <v>2.8</v>
      </c>
      <c r="U155">
        <v>1.4</v>
      </c>
      <c r="V155">
        <v>7</v>
      </c>
      <c r="W155">
        <v>4</v>
      </c>
      <c r="X155">
        <v>5</v>
      </c>
      <c r="Y155">
        <v>2</v>
      </c>
      <c r="Z155">
        <v>6</v>
      </c>
      <c r="AA155">
        <v>2</v>
      </c>
    </row>
    <row r="156" spans="2:27" x14ac:dyDescent="0.2">
      <c r="B156">
        <v>49</v>
      </c>
      <c r="C156">
        <v>2</v>
      </c>
      <c r="D156">
        <v>4</v>
      </c>
      <c r="E156">
        <v>80</v>
      </c>
      <c r="F156">
        <v>12.600000000000001</v>
      </c>
      <c r="G156">
        <v>7.5</v>
      </c>
      <c r="H156">
        <v>0</v>
      </c>
      <c r="I156">
        <v>5.6000000000000005</v>
      </c>
    </row>
    <row r="157" spans="2:27" x14ac:dyDescent="0.2">
      <c r="B157">
        <v>49</v>
      </c>
      <c r="C157">
        <v>3</v>
      </c>
      <c r="D157">
        <v>3</v>
      </c>
      <c r="E157">
        <v>70</v>
      </c>
      <c r="F157">
        <v>11.9</v>
      </c>
      <c r="G157">
        <v>11.100000000000001</v>
      </c>
      <c r="H157">
        <v>0</v>
      </c>
      <c r="I157">
        <v>10.9</v>
      </c>
    </row>
    <row r="158" spans="2:27" x14ac:dyDescent="0.2">
      <c r="B158">
        <v>50</v>
      </c>
      <c r="C158">
        <v>1</v>
      </c>
      <c r="D158">
        <v>4</v>
      </c>
      <c r="E158">
        <v>90</v>
      </c>
      <c r="F158">
        <v>7.6000000000000005</v>
      </c>
      <c r="G158">
        <v>0</v>
      </c>
      <c r="H158">
        <v>2.1</v>
      </c>
      <c r="I158">
        <v>5.2</v>
      </c>
      <c r="J158">
        <v>31</v>
      </c>
      <c r="K158">
        <v>30</v>
      </c>
      <c r="L158">
        <v>5.4</v>
      </c>
      <c r="M158">
        <v>1.6</v>
      </c>
      <c r="N158">
        <v>4.5999999999999996</v>
      </c>
      <c r="O158">
        <v>6.4</v>
      </c>
      <c r="P158">
        <v>2.4</v>
      </c>
      <c r="Q158">
        <v>1.3</v>
      </c>
      <c r="R158">
        <v>2.5</v>
      </c>
      <c r="S158">
        <v>1.2</v>
      </c>
      <c r="T158">
        <v>1.9</v>
      </c>
      <c r="U158">
        <v>3.9</v>
      </c>
      <c r="V158">
        <v>6</v>
      </c>
      <c r="W158">
        <v>25</v>
      </c>
      <c r="X158">
        <v>9</v>
      </c>
      <c r="Y158">
        <v>3</v>
      </c>
      <c r="Z158">
        <v>9</v>
      </c>
      <c r="AA158">
        <v>9</v>
      </c>
    </row>
    <row r="159" spans="2:27" x14ac:dyDescent="0.2">
      <c r="B159">
        <v>50</v>
      </c>
      <c r="C159">
        <v>2</v>
      </c>
      <c r="D159">
        <v>0</v>
      </c>
      <c r="E159">
        <v>10</v>
      </c>
      <c r="F159">
        <v>4.2</v>
      </c>
      <c r="G159">
        <v>0</v>
      </c>
      <c r="H159">
        <v>0</v>
      </c>
      <c r="I159">
        <v>2.2000000000000002</v>
      </c>
    </row>
    <row r="160" spans="2:27" x14ac:dyDescent="0.2">
      <c r="B160">
        <v>50</v>
      </c>
      <c r="C160">
        <v>3</v>
      </c>
      <c r="D160">
        <v>4</v>
      </c>
      <c r="E160">
        <v>80</v>
      </c>
      <c r="F160">
        <v>10.5</v>
      </c>
      <c r="G160">
        <v>0</v>
      </c>
      <c r="H160">
        <v>6.4</v>
      </c>
      <c r="I160">
        <v>8.6</v>
      </c>
    </row>
    <row r="161" spans="1:27" x14ac:dyDescent="0.2">
      <c r="B161">
        <v>51</v>
      </c>
      <c r="C161">
        <v>1</v>
      </c>
      <c r="D161">
        <v>2</v>
      </c>
      <c r="E161">
        <v>60</v>
      </c>
      <c r="F161">
        <v>8.5</v>
      </c>
      <c r="G161">
        <v>0</v>
      </c>
      <c r="H161">
        <v>7.6000000000000005</v>
      </c>
      <c r="I161">
        <v>7.9</v>
      </c>
      <c r="J161">
        <v>16</v>
      </c>
      <c r="K161">
        <v>47</v>
      </c>
      <c r="L161">
        <v>4.3</v>
      </c>
      <c r="M161">
        <v>3.1</v>
      </c>
      <c r="N161">
        <v>2.6</v>
      </c>
      <c r="O161">
        <v>3.2</v>
      </c>
      <c r="P161">
        <v>4.5999999999999996</v>
      </c>
      <c r="Q161">
        <v>3.1</v>
      </c>
      <c r="R161">
        <v>5.8</v>
      </c>
      <c r="S161">
        <v>1.8</v>
      </c>
      <c r="T161">
        <v>2.5</v>
      </c>
      <c r="U161">
        <v>3.3</v>
      </c>
      <c r="V161">
        <v>2</v>
      </c>
      <c r="W161">
        <v>10</v>
      </c>
      <c r="X161">
        <v>5</v>
      </c>
    </row>
    <row r="162" spans="1:27" x14ac:dyDescent="0.2">
      <c r="B162">
        <v>51</v>
      </c>
      <c r="C162">
        <v>2</v>
      </c>
      <c r="D162">
        <v>0</v>
      </c>
      <c r="E162">
        <v>10</v>
      </c>
      <c r="F162">
        <v>4.9000000000000004</v>
      </c>
      <c r="G162">
        <v>0</v>
      </c>
      <c r="H162">
        <v>0</v>
      </c>
      <c r="I162">
        <v>0</v>
      </c>
    </row>
    <row r="163" spans="1:27" x14ac:dyDescent="0.2">
      <c r="B163">
        <v>51</v>
      </c>
      <c r="C163">
        <v>3</v>
      </c>
      <c r="D163">
        <v>4</v>
      </c>
      <c r="E163">
        <v>90</v>
      </c>
      <c r="F163">
        <v>11.700000000000001</v>
      </c>
      <c r="G163">
        <v>7.2</v>
      </c>
      <c r="H163">
        <v>7.9</v>
      </c>
      <c r="I163">
        <v>0.9</v>
      </c>
    </row>
    <row r="164" spans="1:27" x14ac:dyDescent="0.2">
      <c r="A164" s="1">
        <v>45937</v>
      </c>
      <c r="B164">
        <v>52</v>
      </c>
      <c r="C164">
        <v>1</v>
      </c>
      <c r="D164">
        <v>5</v>
      </c>
      <c r="E164">
        <v>100</v>
      </c>
      <c r="F164">
        <v>11.8</v>
      </c>
      <c r="G164">
        <v>9</v>
      </c>
      <c r="H164">
        <v>3.6</v>
      </c>
      <c r="I164">
        <v>4.4000000000000004</v>
      </c>
      <c r="J164">
        <v>15</v>
      </c>
      <c r="K164">
        <v>87</v>
      </c>
      <c r="L164">
        <v>2.4</v>
      </c>
      <c r="M164">
        <v>5.5</v>
      </c>
      <c r="N164">
        <v>3.4</v>
      </c>
      <c r="O164">
        <v>4</v>
      </c>
      <c r="P164">
        <v>4.5999999999999996</v>
      </c>
      <c r="Q164">
        <v>5.2</v>
      </c>
      <c r="R164">
        <v>5.3</v>
      </c>
      <c r="S164">
        <v>6.2</v>
      </c>
      <c r="T164">
        <v>4.5</v>
      </c>
      <c r="U164">
        <v>5.6</v>
      </c>
      <c r="V164">
        <v>1</v>
      </c>
      <c r="W164">
        <v>2</v>
      </c>
    </row>
    <row r="165" spans="1:27" x14ac:dyDescent="0.2">
      <c r="A165" s="1">
        <v>45937</v>
      </c>
      <c r="B165">
        <v>52</v>
      </c>
      <c r="C165">
        <v>2</v>
      </c>
      <c r="D165">
        <v>4</v>
      </c>
      <c r="E165">
        <v>90</v>
      </c>
      <c r="F165">
        <v>15.1</v>
      </c>
      <c r="G165">
        <v>2.8</v>
      </c>
      <c r="H165">
        <v>4</v>
      </c>
      <c r="I165">
        <v>6.4</v>
      </c>
    </row>
    <row r="166" spans="1:27" x14ac:dyDescent="0.2">
      <c r="A166" s="1">
        <v>45937</v>
      </c>
      <c r="B166">
        <v>52</v>
      </c>
      <c r="C166">
        <v>3</v>
      </c>
      <c r="D166">
        <v>6</v>
      </c>
      <c r="E166">
        <v>100</v>
      </c>
      <c r="F166">
        <v>9.8000000000000007</v>
      </c>
      <c r="G166">
        <v>6.7</v>
      </c>
      <c r="H166">
        <v>8.3000000000000007</v>
      </c>
      <c r="I166">
        <v>2.8</v>
      </c>
    </row>
    <row r="167" spans="1:27" x14ac:dyDescent="0.2">
      <c r="A167" s="1">
        <v>45937</v>
      </c>
      <c r="B167">
        <v>53</v>
      </c>
      <c r="C167">
        <v>1</v>
      </c>
      <c r="D167">
        <v>4</v>
      </c>
      <c r="E167">
        <v>80</v>
      </c>
      <c r="F167">
        <v>13.4</v>
      </c>
      <c r="G167">
        <v>12.4</v>
      </c>
      <c r="H167">
        <v>6.8</v>
      </c>
      <c r="I167">
        <v>5.6</v>
      </c>
      <c r="J167">
        <v>18</v>
      </c>
      <c r="K167">
        <v>44</v>
      </c>
      <c r="L167">
        <v>3.7</v>
      </c>
      <c r="M167">
        <v>2</v>
      </c>
      <c r="N167">
        <v>6.7</v>
      </c>
      <c r="O167">
        <v>5</v>
      </c>
      <c r="P167">
        <v>4.5999999999999996</v>
      </c>
      <c r="Q167">
        <v>5.7</v>
      </c>
      <c r="R167">
        <v>6.6</v>
      </c>
      <c r="S167">
        <v>3.8</v>
      </c>
      <c r="T167">
        <v>5.4</v>
      </c>
      <c r="U167">
        <v>6.6</v>
      </c>
      <c r="V167">
        <v>5</v>
      </c>
      <c r="W167">
        <v>8</v>
      </c>
      <c r="X167">
        <v>7</v>
      </c>
      <c r="Y167">
        <v>6</v>
      </c>
      <c r="Z167">
        <v>11</v>
      </c>
      <c r="AA167">
        <v>6</v>
      </c>
    </row>
    <row r="168" spans="1:27" x14ac:dyDescent="0.2">
      <c r="A168" s="1">
        <v>45937</v>
      </c>
      <c r="B168">
        <v>53</v>
      </c>
      <c r="C168">
        <v>2</v>
      </c>
      <c r="D168">
        <v>2</v>
      </c>
      <c r="E168">
        <v>20</v>
      </c>
      <c r="F168">
        <v>9.6999999999999993</v>
      </c>
      <c r="G168">
        <v>4.5999999999999996</v>
      </c>
      <c r="H168">
        <v>0</v>
      </c>
      <c r="I168">
        <v>5.9</v>
      </c>
    </row>
    <row r="169" spans="1:27" x14ac:dyDescent="0.2">
      <c r="A169" s="1">
        <v>45937</v>
      </c>
      <c r="B169">
        <v>53</v>
      </c>
      <c r="C169">
        <v>3</v>
      </c>
      <c r="D169">
        <v>3</v>
      </c>
      <c r="E169">
        <v>60</v>
      </c>
      <c r="F169">
        <v>11.7</v>
      </c>
      <c r="G169">
        <v>7.2</v>
      </c>
      <c r="H169">
        <v>11.5</v>
      </c>
      <c r="I169">
        <v>0</v>
      </c>
    </row>
    <row r="170" spans="1:27" x14ac:dyDescent="0.2">
      <c r="A170" s="1">
        <v>45937</v>
      </c>
      <c r="B170">
        <v>54</v>
      </c>
      <c r="C170">
        <v>1</v>
      </c>
      <c r="D170">
        <v>3</v>
      </c>
      <c r="E170">
        <v>40</v>
      </c>
      <c r="F170">
        <v>9.5</v>
      </c>
      <c r="G170">
        <v>9.5</v>
      </c>
      <c r="H170">
        <v>0</v>
      </c>
      <c r="I170">
        <v>4</v>
      </c>
      <c r="J170">
        <v>13</v>
      </c>
      <c r="K170">
        <v>32</v>
      </c>
      <c r="L170">
        <v>5.5</v>
      </c>
      <c r="M170">
        <v>5</v>
      </c>
      <c r="N170">
        <v>4.2</v>
      </c>
      <c r="O170">
        <v>7.4</v>
      </c>
      <c r="P170">
        <v>6</v>
      </c>
      <c r="Q170">
        <v>5.7</v>
      </c>
      <c r="R170">
        <v>4.7</v>
      </c>
      <c r="S170">
        <v>4.9000000000000004</v>
      </c>
      <c r="T170">
        <v>5</v>
      </c>
      <c r="U170">
        <v>5.6</v>
      </c>
      <c r="V170">
        <v>20</v>
      </c>
      <c r="W170">
        <v>10</v>
      </c>
      <c r="X170">
        <v>12</v>
      </c>
      <c r="Y170">
        <v>4</v>
      </c>
      <c r="Z170">
        <v>5</v>
      </c>
      <c r="AA170">
        <v>6</v>
      </c>
    </row>
    <row r="171" spans="1:27" x14ac:dyDescent="0.2">
      <c r="A171" s="1">
        <v>45937</v>
      </c>
      <c r="B171">
        <v>54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27" x14ac:dyDescent="0.2">
      <c r="A172" s="1">
        <v>45937</v>
      </c>
      <c r="B172">
        <v>54</v>
      </c>
      <c r="C172">
        <v>3</v>
      </c>
      <c r="D172">
        <v>2</v>
      </c>
      <c r="E172">
        <v>50</v>
      </c>
      <c r="F172">
        <v>7.2</v>
      </c>
      <c r="G172">
        <v>4.5</v>
      </c>
      <c r="H172">
        <v>5</v>
      </c>
      <c r="I172">
        <v>0</v>
      </c>
    </row>
    <row r="173" spans="1:27" x14ac:dyDescent="0.2">
      <c r="A173" s="1">
        <v>45937</v>
      </c>
      <c r="B173">
        <v>55</v>
      </c>
      <c r="C173">
        <v>1</v>
      </c>
      <c r="D173">
        <v>0</v>
      </c>
      <c r="E173">
        <v>10</v>
      </c>
      <c r="F173">
        <v>7.2</v>
      </c>
      <c r="G173">
        <v>3</v>
      </c>
      <c r="H173">
        <v>0</v>
      </c>
      <c r="I173">
        <v>0</v>
      </c>
      <c r="J173">
        <v>1</v>
      </c>
      <c r="K173">
        <v>7</v>
      </c>
      <c r="L173">
        <v>4</v>
      </c>
      <c r="V173">
        <v>7</v>
      </c>
      <c r="W173">
        <v>6</v>
      </c>
      <c r="X173">
        <v>4</v>
      </c>
      <c r="Y173">
        <v>4</v>
      </c>
      <c r="Z173">
        <v>3</v>
      </c>
      <c r="AA173">
        <v>2</v>
      </c>
    </row>
    <row r="174" spans="1:27" x14ac:dyDescent="0.2">
      <c r="A174" s="1">
        <v>45937</v>
      </c>
      <c r="B174">
        <v>55</v>
      </c>
      <c r="C174">
        <v>2</v>
      </c>
      <c r="D174">
        <v>2</v>
      </c>
      <c r="E174">
        <v>30</v>
      </c>
      <c r="F174">
        <v>10.7</v>
      </c>
      <c r="G174">
        <v>0</v>
      </c>
      <c r="H174">
        <v>5.4</v>
      </c>
      <c r="I174">
        <v>0</v>
      </c>
    </row>
    <row r="175" spans="1:27" x14ac:dyDescent="0.2">
      <c r="A175" s="1">
        <v>45937</v>
      </c>
      <c r="B175">
        <v>55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27" x14ac:dyDescent="0.2">
      <c r="A176" s="1">
        <v>45937</v>
      </c>
      <c r="B176">
        <v>56</v>
      </c>
      <c r="C176">
        <v>1</v>
      </c>
      <c r="D176">
        <v>5</v>
      </c>
      <c r="E176">
        <v>90</v>
      </c>
      <c r="F176">
        <v>10.3</v>
      </c>
      <c r="G176">
        <v>4.3</v>
      </c>
      <c r="H176">
        <v>3.7</v>
      </c>
      <c r="I176">
        <v>3.4</v>
      </c>
      <c r="J176">
        <v>17</v>
      </c>
      <c r="K176">
        <v>68</v>
      </c>
      <c r="L176">
        <v>5.8</v>
      </c>
      <c r="M176">
        <v>3.7</v>
      </c>
      <c r="N176">
        <v>5.6</v>
      </c>
      <c r="O176">
        <v>3.4</v>
      </c>
      <c r="P176">
        <v>5.5</v>
      </c>
      <c r="Q176">
        <v>5</v>
      </c>
      <c r="R176">
        <v>6.3</v>
      </c>
      <c r="S176">
        <v>5.5</v>
      </c>
      <c r="T176">
        <v>6.7</v>
      </c>
      <c r="U176">
        <v>4.4000000000000004</v>
      </c>
      <c r="V176">
        <v>0</v>
      </c>
    </row>
    <row r="177" spans="1:29" x14ac:dyDescent="0.2">
      <c r="A177" s="1">
        <v>45937</v>
      </c>
      <c r="B177">
        <v>56</v>
      </c>
      <c r="C177">
        <v>2</v>
      </c>
      <c r="D177">
        <v>5</v>
      </c>
      <c r="E177">
        <v>90</v>
      </c>
      <c r="F177">
        <v>12.6</v>
      </c>
      <c r="G177">
        <v>4.4000000000000004</v>
      </c>
      <c r="H177">
        <v>3.9</v>
      </c>
      <c r="I177">
        <v>6</v>
      </c>
    </row>
    <row r="178" spans="1:29" x14ac:dyDescent="0.2">
      <c r="A178" s="1">
        <v>45937</v>
      </c>
      <c r="B178">
        <v>56</v>
      </c>
      <c r="C178">
        <v>3</v>
      </c>
      <c r="D178">
        <v>4</v>
      </c>
      <c r="E178">
        <v>70</v>
      </c>
      <c r="F178">
        <v>11.8</v>
      </c>
      <c r="G178">
        <v>9.6999999999999993</v>
      </c>
      <c r="H178">
        <v>7.1</v>
      </c>
      <c r="I178">
        <v>9.6</v>
      </c>
    </row>
    <row r="179" spans="1:29" x14ac:dyDescent="0.2">
      <c r="A179" s="1">
        <v>45937</v>
      </c>
      <c r="B179">
        <v>57</v>
      </c>
      <c r="C179">
        <v>1</v>
      </c>
      <c r="D179">
        <v>1</v>
      </c>
      <c r="E179">
        <v>20</v>
      </c>
      <c r="F179">
        <v>6.4</v>
      </c>
      <c r="G179">
        <v>0</v>
      </c>
      <c r="H179">
        <v>5.8</v>
      </c>
      <c r="I179">
        <v>0</v>
      </c>
      <c r="J179">
        <v>13</v>
      </c>
      <c r="K179">
        <v>43</v>
      </c>
      <c r="L179">
        <v>6.9</v>
      </c>
      <c r="M179">
        <v>5.5</v>
      </c>
      <c r="N179">
        <v>6.6</v>
      </c>
      <c r="O179">
        <v>6</v>
      </c>
      <c r="P179">
        <v>6.7</v>
      </c>
      <c r="Q179">
        <v>4</v>
      </c>
      <c r="R179">
        <v>3.3</v>
      </c>
      <c r="S179">
        <v>4.7</v>
      </c>
      <c r="T179">
        <v>6.3</v>
      </c>
      <c r="U179">
        <v>4.7</v>
      </c>
      <c r="V179">
        <v>4</v>
      </c>
      <c r="W179">
        <v>7</v>
      </c>
      <c r="X179">
        <v>9</v>
      </c>
      <c r="Y179">
        <v>6</v>
      </c>
      <c r="Z179">
        <v>3</v>
      </c>
    </row>
    <row r="180" spans="1:29" x14ac:dyDescent="0.2">
      <c r="A180" s="1">
        <v>45937</v>
      </c>
      <c r="B180">
        <v>57</v>
      </c>
      <c r="C180">
        <v>2</v>
      </c>
      <c r="D180">
        <v>3</v>
      </c>
      <c r="E180">
        <v>60</v>
      </c>
      <c r="F180">
        <v>13.6</v>
      </c>
      <c r="G180">
        <v>9.1</v>
      </c>
      <c r="H180">
        <v>0</v>
      </c>
      <c r="I180">
        <v>6.2</v>
      </c>
    </row>
    <row r="181" spans="1:29" x14ac:dyDescent="0.2">
      <c r="A181" s="1">
        <v>45937</v>
      </c>
      <c r="B181">
        <v>57</v>
      </c>
      <c r="C181">
        <v>3</v>
      </c>
      <c r="D181">
        <v>3</v>
      </c>
      <c r="E181">
        <v>60</v>
      </c>
      <c r="F181">
        <v>8.9</v>
      </c>
      <c r="G181">
        <v>7.6</v>
      </c>
      <c r="H181">
        <v>6.7</v>
      </c>
      <c r="I181">
        <v>6.3</v>
      </c>
    </row>
    <row r="182" spans="1:29" x14ac:dyDescent="0.2">
      <c r="A182" s="1">
        <v>45937</v>
      </c>
      <c r="B182">
        <v>58</v>
      </c>
      <c r="C182">
        <v>1</v>
      </c>
      <c r="D182">
        <v>2</v>
      </c>
      <c r="E182">
        <v>70</v>
      </c>
      <c r="F182">
        <v>13.1</v>
      </c>
      <c r="G182">
        <v>0</v>
      </c>
      <c r="H182">
        <v>8.6</v>
      </c>
      <c r="I182">
        <v>7.3</v>
      </c>
      <c r="J182">
        <v>5</v>
      </c>
      <c r="K182">
        <v>12</v>
      </c>
      <c r="L182">
        <v>3.9</v>
      </c>
      <c r="M182">
        <v>3.6</v>
      </c>
      <c r="N182">
        <v>4</v>
      </c>
      <c r="O182">
        <v>6.8</v>
      </c>
      <c r="P182">
        <v>5.0999999999999996</v>
      </c>
      <c r="V182">
        <v>6</v>
      </c>
      <c r="W182">
        <v>7</v>
      </c>
      <c r="X182">
        <v>4</v>
      </c>
      <c r="Y182">
        <v>3</v>
      </c>
      <c r="Z182">
        <v>3</v>
      </c>
      <c r="AA182">
        <v>5</v>
      </c>
    </row>
    <row r="183" spans="1:29" x14ac:dyDescent="0.2">
      <c r="A183" s="1">
        <v>45937</v>
      </c>
      <c r="B183">
        <v>58</v>
      </c>
      <c r="C183">
        <v>2</v>
      </c>
      <c r="D183">
        <v>1</v>
      </c>
      <c r="E183">
        <v>30</v>
      </c>
      <c r="F183">
        <v>4.8</v>
      </c>
      <c r="G183">
        <v>0</v>
      </c>
      <c r="H183">
        <v>0</v>
      </c>
      <c r="I183">
        <v>0</v>
      </c>
    </row>
    <row r="184" spans="1:29" x14ac:dyDescent="0.2">
      <c r="A184" s="1">
        <v>45937</v>
      </c>
      <c r="B184">
        <v>58</v>
      </c>
      <c r="C184">
        <v>3</v>
      </c>
      <c r="D184">
        <v>1</v>
      </c>
      <c r="E184">
        <v>10</v>
      </c>
      <c r="F184">
        <v>2.1</v>
      </c>
      <c r="G184">
        <v>0</v>
      </c>
      <c r="H184">
        <v>0</v>
      </c>
      <c r="I184">
        <v>0</v>
      </c>
    </row>
    <row r="185" spans="1:29" x14ac:dyDescent="0.2">
      <c r="A185" s="1">
        <v>45936</v>
      </c>
      <c r="B185">
        <v>59</v>
      </c>
      <c r="C185">
        <v>1</v>
      </c>
      <c r="D185">
        <v>0</v>
      </c>
      <c r="E185">
        <v>20</v>
      </c>
      <c r="F185">
        <v>3.1</v>
      </c>
      <c r="G185">
        <v>0</v>
      </c>
      <c r="H185">
        <v>0</v>
      </c>
      <c r="I185">
        <v>2.2000000000000002</v>
      </c>
      <c r="J185">
        <v>7</v>
      </c>
      <c r="K185">
        <v>29</v>
      </c>
      <c r="L185">
        <v>5</v>
      </c>
      <c r="M185">
        <v>4.2</v>
      </c>
      <c r="N185">
        <v>5.5</v>
      </c>
      <c r="O185">
        <v>4.2</v>
      </c>
      <c r="P185">
        <v>4.3</v>
      </c>
      <c r="Q185">
        <v>3.6</v>
      </c>
      <c r="R185">
        <v>3.4</v>
      </c>
      <c r="V185">
        <v>1</v>
      </c>
      <c r="W185">
        <v>6</v>
      </c>
    </row>
    <row r="186" spans="1:29" x14ac:dyDescent="0.2">
      <c r="A186" s="1">
        <v>45936</v>
      </c>
      <c r="B186">
        <v>59</v>
      </c>
      <c r="C186">
        <v>2</v>
      </c>
      <c r="D186">
        <v>1</v>
      </c>
      <c r="E186">
        <v>30</v>
      </c>
      <c r="F186">
        <v>7.2</v>
      </c>
      <c r="G186">
        <v>0</v>
      </c>
      <c r="H186">
        <v>6.1</v>
      </c>
      <c r="I186">
        <v>0</v>
      </c>
    </row>
    <row r="187" spans="1:29" x14ac:dyDescent="0.2">
      <c r="A187" s="1">
        <v>45936</v>
      </c>
      <c r="B187">
        <v>59</v>
      </c>
      <c r="C187">
        <v>3</v>
      </c>
      <c r="D187">
        <v>1</v>
      </c>
      <c r="E187">
        <v>20</v>
      </c>
      <c r="F187">
        <v>9</v>
      </c>
      <c r="G187">
        <v>7.7</v>
      </c>
      <c r="H187">
        <v>0</v>
      </c>
      <c r="I187">
        <v>0</v>
      </c>
    </row>
    <row r="188" spans="1:29" x14ac:dyDescent="0.2">
      <c r="A188" s="1">
        <v>45936</v>
      </c>
      <c r="B188">
        <v>60</v>
      </c>
      <c r="C188">
        <v>1</v>
      </c>
      <c r="D188">
        <v>4</v>
      </c>
      <c r="E188">
        <v>70</v>
      </c>
      <c r="F188">
        <v>10.1</v>
      </c>
      <c r="G188">
        <v>3</v>
      </c>
      <c r="H188">
        <v>4.5999999999999996</v>
      </c>
      <c r="I188">
        <v>5.0999999999999996</v>
      </c>
      <c r="J188">
        <v>45</v>
      </c>
      <c r="K188">
        <v>77</v>
      </c>
      <c r="L188">
        <v>6</v>
      </c>
      <c r="M188">
        <v>5.5</v>
      </c>
      <c r="N188">
        <v>3.6</v>
      </c>
      <c r="O188">
        <v>3.7</v>
      </c>
      <c r="P188">
        <v>3.2</v>
      </c>
      <c r="Q188">
        <v>5</v>
      </c>
      <c r="R188">
        <v>2.2999999999999998</v>
      </c>
      <c r="S188">
        <v>4</v>
      </c>
      <c r="T188">
        <v>2.8</v>
      </c>
      <c r="U188">
        <v>2.5</v>
      </c>
      <c r="V188">
        <v>5</v>
      </c>
      <c r="W188">
        <v>3</v>
      </c>
      <c r="X188">
        <v>5</v>
      </c>
      <c r="Y188">
        <v>8</v>
      </c>
      <c r="Z188">
        <v>12</v>
      </c>
      <c r="AA188">
        <v>9</v>
      </c>
    </row>
    <row r="189" spans="1:29" x14ac:dyDescent="0.2">
      <c r="A189" s="1">
        <v>45936</v>
      </c>
      <c r="B189">
        <v>60</v>
      </c>
      <c r="C189">
        <v>2</v>
      </c>
      <c r="D189">
        <v>3</v>
      </c>
      <c r="E189">
        <v>90</v>
      </c>
      <c r="F189">
        <v>10</v>
      </c>
      <c r="G189">
        <v>4.2</v>
      </c>
      <c r="H189">
        <v>7</v>
      </c>
      <c r="I189">
        <v>0</v>
      </c>
    </row>
    <row r="190" spans="1:29" x14ac:dyDescent="0.2">
      <c r="A190" s="1">
        <v>45936</v>
      </c>
      <c r="B190">
        <v>60</v>
      </c>
      <c r="C190">
        <v>3</v>
      </c>
      <c r="D190">
        <v>2</v>
      </c>
      <c r="E190">
        <v>70</v>
      </c>
      <c r="F190">
        <v>9.1</v>
      </c>
      <c r="G190">
        <v>7</v>
      </c>
      <c r="H190">
        <v>0</v>
      </c>
      <c r="I190">
        <v>7.2</v>
      </c>
    </row>
    <row r="191" spans="1:29" x14ac:dyDescent="0.2">
      <c r="A191" s="1">
        <v>45936</v>
      </c>
      <c r="B191">
        <v>61</v>
      </c>
      <c r="C191">
        <v>1</v>
      </c>
      <c r="D191">
        <v>2</v>
      </c>
      <c r="E191">
        <v>50</v>
      </c>
      <c r="F191">
        <v>9.9</v>
      </c>
      <c r="G191">
        <v>0</v>
      </c>
      <c r="H191">
        <v>6.1</v>
      </c>
      <c r="I191">
        <v>7.4</v>
      </c>
      <c r="J191">
        <v>17</v>
      </c>
      <c r="K191">
        <v>30</v>
      </c>
      <c r="L191">
        <v>3.2</v>
      </c>
      <c r="M191">
        <v>4.2</v>
      </c>
      <c r="N191">
        <v>3.5</v>
      </c>
      <c r="O191">
        <v>7</v>
      </c>
      <c r="P191">
        <v>5</v>
      </c>
      <c r="Q191">
        <v>4</v>
      </c>
      <c r="R191">
        <v>4</v>
      </c>
      <c r="S191">
        <v>4.5999999999999996</v>
      </c>
      <c r="T191">
        <v>3.5</v>
      </c>
      <c r="U191">
        <v>4.5</v>
      </c>
      <c r="V191">
        <v>3</v>
      </c>
      <c r="W191">
        <v>5</v>
      </c>
      <c r="X191">
        <v>1</v>
      </c>
      <c r="Y191">
        <v>3</v>
      </c>
    </row>
    <row r="192" spans="1:29" x14ac:dyDescent="0.2">
      <c r="A192" s="1">
        <v>45936</v>
      </c>
      <c r="B192">
        <v>61</v>
      </c>
      <c r="C192">
        <v>2</v>
      </c>
      <c r="D192">
        <v>4</v>
      </c>
      <c r="E192">
        <v>100</v>
      </c>
      <c r="F192">
        <v>15.6</v>
      </c>
      <c r="G192">
        <v>9.8000000000000007</v>
      </c>
      <c r="H192">
        <v>10</v>
      </c>
      <c r="I192">
        <v>8.6999999999999993</v>
      </c>
      <c r="AC192" t="s">
        <v>159</v>
      </c>
    </row>
    <row r="193" spans="1:29" x14ac:dyDescent="0.2">
      <c r="A193" s="1">
        <v>45936</v>
      </c>
      <c r="B193">
        <v>61</v>
      </c>
      <c r="C193">
        <v>3</v>
      </c>
      <c r="D193">
        <v>4</v>
      </c>
      <c r="E193">
        <v>80</v>
      </c>
      <c r="F193">
        <v>13.6</v>
      </c>
      <c r="G193">
        <v>6.6</v>
      </c>
      <c r="H193">
        <v>9.9</v>
      </c>
      <c r="I193">
        <v>7</v>
      </c>
      <c r="AC193" t="s">
        <v>159</v>
      </c>
    </row>
    <row r="194" spans="1:29" x14ac:dyDescent="0.2">
      <c r="A194" s="1">
        <v>45936</v>
      </c>
      <c r="B194">
        <v>62</v>
      </c>
      <c r="C194">
        <v>1</v>
      </c>
      <c r="D194">
        <v>1</v>
      </c>
      <c r="E194">
        <v>20</v>
      </c>
      <c r="F194">
        <v>8.4</v>
      </c>
      <c r="G194">
        <v>0</v>
      </c>
      <c r="H194">
        <v>0</v>
      </c>
      <c r="I194">
        <v>6.6</v>
      </c>
      <c r="J194">
        <v>27</v>
      </c>
      <c r="K194">
        <v>24</v>
      </c>
      <c r="L194">
        <v>4.2</v>
      </c>
      <c r="M194">
        <v>3.4</v>
      </c>
      <c r="N194">
        <v>3.6</v>
      </c>
      <c r="O194">
        <v>5.7</v>
      </c>
      <c r="P194">
        <v>4.8</v>
      </c>
      <c r="Q194">
        <v>4</v>
      </c>
      <c r="R194">
        <v>1.9</v>
      </c>
      <c r="S194">
        <v>2.7</v>
      </c>
      <c r="T194">
        <v>2.8</v>
      </c>
      <c r="U194">
        <v>2.2999999999999998</v>
      </c>
      <c r="V194">
        <v>7</v>
      </c>
      <c r="W194">
        <v>2</v>
      </c>
      <c r="X194">
        <v>2</v>
      </c>
      <c r="Y194">
        <v>3</v>
      </c>
      <c r="Z194">
        <v>3</v>
      </c>
      <c r="AA194">
        <v>5</v>
      </c>
    </row>
    <row r="195" spans="1:29" x14ac:dyDescent="0.2">
      <c r="A195" s="1">
        <v>45936</v>
      </c>
      <c r="B195">
        <v>62</v>
      </c>
      <c r="C195">
        <v>2</v>
      </c>
      <c r="D195">
        <v>2</v>
      </c>
      <c r="E195">
        <v>70</v>
      </c>
      <c r="F195">
        <v>10.7</v>
      </c>
      <c r="G195">
        <v>0</v>
      </c>
      <c r="H195">
        <v>3.2</v>
      </c>
      <c r="I195">
        <v>5</v>
      </c>
    </row>
    <row r="196" spans="1:29" x14ac:dyDescent="0.2">
      <c r="A196" s="1">
        <v>45936</v>
      </c>
      <c r="B196">
        <v>62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29" x14ac:dyDescent="0.2">
      <c r="A197" s="1">
        <v>45936</v>
      </c>
      <c r="B197">
        <v>63</v>
      </c>
      <c r="C197">
        <v>1</v>
      </c>
      <c r="D197">
        <v>4</v>
      </c>
      <c r="E197">
        <v>80</v>
      </c>
      <c r="F197">
        <v>13.8</v>
      </c>
      <c r="G197">
        <v>7.7</v>
      </c>
      <c r="H197">
        <v>2</v>
      </c>
      <c r="I197">
        <v>5</v>
      </c>
      <c r="J197">
        <v>88</v>
      </c>
      <c r="K197">
        <v>108</v>
      </c>
      <c r="L197">
        <v>3.7</v>
      </c>
      <c r="M197">
        <v>5</v>
      </c>
      <c r="N197">
        <v>4.0999999999999996</v>
      </c>
      <c r="O197">
        <v>7.6</v>
      </c>
      <c r="P197">
        <v>3.2</v>
      </c>
      <c r="Q197">
        <v>2.5</v>
      </c>
      <c r="R197">
        <v>3.8</v>
      </c>
      <c r="S197">
        <v>5.6</v>
      </c>
      <c r="T197">
        <v>5.7</v>
      </c>
      <c r="U197">
        <v>3.4</v>
      </c>
      <c r="V197">
        <v>26</v>
      </c>
      <c r="W197">
        <v>2</v>
      </c>
      <c r="X197">
        <v>3</v>
      </c>
      <c r="Y197">
        <v>3</v>
      </c>
      <c r="Z197">
        <v>5</v>
      </c>
      <c r="AA197">
        <v>7</v>
      </c>
    </row>
    <row r="198" spans="1:29" x14ac:dyDescent="0.2">
      <c r="A198" s="1">
        <v>45936</v>
      </c>
      <c r="B198">
        <v>63</v>
      </c>
      <c r="C198">
        <v>2</v>
      </c>
      <c r="D198">
        <v>1</v>
      </c>
      <c r="E198">
        <v>10</v>
      </c>
      <c r="F198">
        <v>11.1</v>
      </c>
      <c r="G198">
        <v>0</v>
      </c>
      <c r="H198">
        <v>0</v>
      </c>
      <c r="I198">
        <v>8</v>
      </c>
    </row>
    <row r="199" spans="1:29" x14ac:dyDescent="0.2">
      <c r="A199" s="1">
        <v>45936</v>
      </c>
      <c r="B199">
        <v>63</v>
      </c>
      <c r="C199">
        <v>3</v>
      </c>
      <c r="D199">
        <v>2</v>
      </c>
      <c r="E199">
        <v>80</v>
      </c>
      <c r="F199">
        <v>7.8</v>
      </c>
      <c r="G199">
        <v>7.6</v>
      </c>
      <c r="H199">
        <v>6</v>
      </c>
      <c r="I199">
        <v>3.4</v>
      </c>
    </row>
    <row r="200" spans="1:29" x14ac:dyDescent="0.2">
      <c r="A200" s="1">
        <v>45936</v>
      </c>
      <c r="B200">
        <v>64</v>
      </c>
      <c r="C200">
        <v>1</v>
      </c>
      <c r="D200">
        <v>4</v>
      </c>
      <c r="E200">
        <v>70</v>
      </c>
      <c r="F200">
        <v>13.2</v>
      </c>
      <c r="G200">
        <v>12</v>
      </c>
      <c r="H200">
        <v>0</v>
      </c>
      <c r="I200">
        <v>3.5</v>
      </c>
      <c r="J200">
        <v>25</v>
      </c>
      <c r="K200">
        <v>41</v>
      </c>
      <c r="L200">
        <v>4.2</v>
      </c>
      <c r="M200">
        <v>6</v>
      </c>
      <c r="N200">
        <v>4</v>
      </c>
      <c r="O200">
        <v>5.0999999999999996</v>
      </c>
      <c r="P200">
        <v>4.9000000000000004</v>
      </c>
      <c r="Q200">
        <v>6.1</v>
      </c>
      <c r="R200">
        <v>5.3</v>
      </c>
      <c r="S200">
        <v>3.4</v>
      </c>
      <c r="T200">
        <v>6.1</v>
      </c>
      <c r="U200">
        <v>5.9</v>
      </c>
      <c r="V200">
        <v>15</v>
      </c>
      <c r="W200">
        <v>4</v>
      </c>
      <c r="X200">
        <v>5</v>
      </c>
      <c r="Y200">
        <v>10</v>
      </c>
      <c r="Z200">
        <v>9</v>
      </c>
      <c r="AA200">
        <v>3</v>
      </c>
    </row>
    <row r="201" spans="1:29" x14ac:dyDescent="0.2">
      <c r="A201" s="1">
        <v>45936</v>
      </c>
      <c r="B201">
        <v>64</v>
      </c>
      <c r="C201">
        <v>2</v>
      </c>
      <c r="D201">
        <v>3</v>
      </c>
      <c r="E201">
        <v>60</v>
      </c>
      <c r="F201">
        <v>7.3</v>
      </c>
      <c r="G201">
        <v>3.6</v>
      </c>
      <c r="H201">
        <v>5.2</v>
      </c>
      <c r="I201">
        <v>0</v>
      </c>
    </row>
    <row r="202" spans="1:29" x14ac:dyDescent="0.2">
      <c r="A202" s="1">
        <v>45936</v>
      </c>
      <c r="B202">
        <v>64</v>
      </c>
      <c r="C202">
        <v>3</v>
      </c>
      <c r="D202">
        <v>2</v>
      </c>
      <c r="E202">
        <v>70</v>
      </c>
      <c r="F202">
        <v>10.1</v>
      </c>
      <c r="G202">
        <v>2.2000000000000002</v>
      </c>
      <c r="H202">
        <v>4.5</v>
      </c>
      <c r="I202">
        <v>7.7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851C-4263-4B75-B4EF-A87C01BB6D90}">
  <dimension ref="A1:C70"/>
  <sheetViews>
    <sheetView workbookViewId="0">
      <selection activeCell="C74" sqref="C74"/>
    </sheetView>
  </sheetViews>
  <sheetFormatPr baseColWidth="10" defaultColWidth="8.83203125" defaultRowHeight="15" x14ac:dyDescent="0.2"/>
  <cols>
    <col min="1" max="1" width="9.1640625" bestFit="1" customWidth="1"/>
  </cols>
  <sheetData>
    <row r="1" spans="1:3" x14ac:dyDescent="0.2">
      <c r="A1" t="s">
        <v>101</v>
      </c>
    </row>
    <row r="2" spans="1:3" x14ac:dyDescent="0.2">
      <c r="A2" t="s">
        <v>134</v>
      </c>
    </row>
    <row r="3" spans="1:3" x14ac:dyDescent="0.2">
      <c r="A3" t="s">
        <v>148</v>
      </c>
    </row>
    <row r="4" spans="1:3" x14ac:dyDescent="0.2">
      <c r="A4" t="s">
        <v>158</v>
      </c>
    </row>
    <row r="6" spans="1:3" x14ac:dyDescent="0.2">
      <c r="A6" t="s">
        <v>4</v>
      </c>
      <c r="B6" t="s">
        <v>10</v>
      </c>
      <c r="C6" t="s">
        <v>126</v>
      </c>
    </row>
    <row r="7" spans="1:3" x14ac:dyDescent="0.2">
      <c r="A7" s="1">
        <v>45936</v>
      </c>
      <c r="B7">
        <v>1</v>
      </c>
      <c r="C7">
        <v>2</v>
      </c>
    </row>
    <row r="8" spans="1:3" x14ac:dyDescent="0.2">
      <c r="B8">
        <v>2</v>
      </c>
      <c r="C8">
        <v>5</v>
      </c>
    </row>
    <row r="9" spans="1:3" x14ac:dyDescent="0.2">
      <c r="B9">
        <v>3</v>
      </c>
      <c r="C9">
        <v>0</v>
      </c>
    </row>
    <row r="10" spans="1:3" x14ac:dyDescent="0.2">
      <c r="B10">
        <v>4</v>
      </c>
      <c r="C10">
        <v>0</v>
      </c>
    </row>
    <row r="11" spans="1:3" x14ac:dyDescent="0.2">
      <c r="B11">
        <v>5</v>
      </c>
      <c r="C11">
        <v>0</v>
      </c>
    </row>
    <row r="12" spans="1:3" x14ac:dyDescent="0.2">
      <c r="B12">
        <v>6</v>
      </c>
      <c r="C12">
        <v>0</v>
      </c>
    </row>
    <row r="13" spans="1:3" x14ac:dyDescent="0.2">
      <c r="B13">
        <v>7</v>
      </c>
      <c r="C13">
        <v>2</v>
      </c>
    </row>
    <row r="14" spans="1:3" x14ac:dyDescent="0.2">
      <c r="B14">
        <v>8</v>
      </c>
      <c r="C14">
        <v>0</v>
      </c>
    </row>
    <row r="15" spans="1:3" x14ac:dyDescent="0.2">
      <c r="B15">
        <v>9</v>
      </c>
      <c r="C15">
        <v>0</v>
      </c>
    </row>
    <row r="16" spans="1:3" x14ac:dyDescent="0.2">
      <c r="B16">
        <v>10</v>
      </c>
      <c r="C16">
        <v>0</v>
      </c>
    </row>
    <row r="17" spans="2:3" x14ac:dyDescent="0.2">
      <c r="B17">
        <v>11</v>
      </c>
      <c r="C17">
        <v>3</v>
      </c>
    </row>
    <row r="18" spans="2:3" x14ac:dyDescent="0.2">
      <c r="B18">
        <v>12</v>
      </c>
      <c r="C18">
        <v>0</v>
      </c>
    </row>
    <row r="19" spans="2:3" x14ac:dyDescent="0.2">
      <c r="B19">
        <v>13</v>
      </c>
      <c r="C19">
        <v>0</v>
      </c>
    </row>
    <row r="20" spans="2:3" x14ac:dyDescent="0.2">
      <c r="B20">
        <v>14</v>
      </c>
      <c r="C20">
        <v>0</v>
      </c>
    </row>
    <row r="21" spans="2:3" x14ac:dyDescent="0.2">
      <c r="B21">
        <v>15</v>
      </c>
      <c r="C21">
        <v>0</v>
      </c>
    </row>
    <row r="22" spans="2:3" x14ac:dyDescent="0.2">
      <c r="B22">
        <v>16</v>
      </c>
      <c r="C22">
        <v>0</v>
      </c>
    </row>
    <row r="23" spans="2:3" x14ac:dyDescent="0.2">
      <c r="B23">
        <v>17</v>
      </c>
      <c r="C23">
        <v>0</v>
      </c>
    </row>
    <row r="24" spans="2:3" x14ac:dyDescent="0.2">
      <c r="B24">
        <v>18</v>
      </c>
      <c r="C24">
        <v>1</v>
      </c>
    </row>
    <row r="25" spans="2:3" x14ac:dyDescent="0.2">
      <c r="B25">
        <v>19</v>
      </c>
      <c r="C25">
        <v>0</v>
      </c>
    </row>
    <row r="26" spans="2:3" x14ac:dyDescent="0.2">
      <c r="B26">
        <v>20</v>
      </c>
      <c r="C26">
        <v>1</v>
      </c>
    </row>
    <row r="27" spans="2:3" x14ac:dyDescent="0.2">
      <c r="B27">
        <v>21</v>
      </c>
      <c r="C27">
        <v>3</v>
      </c>
    </row>
    <row r="28" spans="2:3" x14ac:dyDescent="0.2">
      <c r="B28">
        <v>22</v>
      </c>
      <c r="C28">
        <v>3</v>
      </c>
    </row>
    <row r="29" spans="2:3" x14ac:dyDescent="0.2">
      <c r="B29">
        <v>23</v>
      </c>
      <c r="C29">
        <v>13</v>
      </c>
    </row>
    <row r="30" spans="2:3" x14ac:dyDescent="0.2">
      <c r="B30">
        <v>24</v>
      </c>
      <c r="C30">
        <v>1</v>
      </c>
    </row>
    <row r="31" spans="2:3" x14ac:dyDescent="0.2">
      <c r="B31">
        <v>25</v>
      </c>
      <c r="C31">
        <v>2</v>
      </c>
    </row>
    <row r="32" spans="2:3" x14ac:dyDescent="0.2">
      <c r="B32">
        <v>26</v>
      </c>
      <c r="C32">
        <v>4</v>
      </c>
    </row>
    <row r="33" spans="2:3" x14ac:dyDescent="0.2">
      <c r="B33">
        <v>27</v>
      </c>
      <c r="C33">
        <v>0</v>
      </c>
    </row>
    <row r="34" spans="2:3" x14ac:dyDescent="0.2">
      <c r="B34">
        <v>28</v>
      </c>
      <c r="C34">
        <v>13</v>
      </c>
    </row>
    <row r="35" spans="2:3" x14ac:dyDescent="0.2">
      <c r="B35">
        <v>29</v>
      </c>
      <c r="C35">
        <v>0</v>
      </c>
    </row>
    <row r="36" spans="2:3" x14ac:dyDescent="0.2">
      <c r="B36">
        <v>30</v>
      </c>
      <c r="C36">
        <v>0</v>
      </c>
    </row>
    <row r="37" spans="2:3" x14ac:dyDescent="0.2">
      <c r="B37">
        <v>31</v>
      </c>
      <c r="C37">
        <v>2</v>
      </c>
    </row>
    <row r="38" spans="2:3" x14ac:dyDescent="0.2">
      <c r="B38">
        <v>32</v>
      </c>
      <c r="C38">
        <v>0</v>
      </c>
    </row>
    <row r="39" spans="2:3" x14ac:dyDescent="0.2">
      <c r="B39">
        <v>33</v>
      </c>
      <c r="C39">
        <v>0</v>
      </c>
    </row>
    <row r="40" spans="2:3" x14ac:dyDescent="0.2">
      <c r="B40">
        <v>34</v>
      </c>
      <c r="C40">
        <v>4</v>
      </c>
    </row>
    <row r="41" spans="2:3" x14ac:dyDescent="0.2">
      <c r="B41">
        <v>35</v>
      </c>
      <c r="C41">
        <v>4</v>
      </c>
    </row>
    <row r="42" spans="2:3" x14ac:dyDescent="0.2">
      <c r="B42">
        <v>36</v>
      </c>
      <c r="C42">
        <v>6</v>
      </c>
    </row>
    <row r="43" spans="2:3" x14ac:dyDescent="0.2">
      <c r="B43">
        <v>37</v>
      </c>
      <c r="C43">
        <v>0</v>
      </c>
    </row>
    <row r="44" spans="2:3" x14ac:dyDescent="0.2">
      <c r="B44">
        <v>38</v>
      </c>
      <c r="C44">
        <v>10</v>
      </c>
    </row>
    <row r="45" spans="2:3" x14ac:dyDescent="0.2">
      <c r="B45">
        <v>39</v>
      </c>
      <c r="C45">
        <v>0</v>
      </c>
    </row>
    <row r="46" spans="2:3" x14ac:dyDescent="0.2">
      <c r="B46">
        <v>40</v>
      </c>
      <c r="C46">
        <v>3</v>
      </c>
    </row>
    <row r="47" spans="2:3" x14ac:dyDescent="0.2">
      <c r="B47">
        <v>41</v>
      </c>
      <c r="C47">
        <v>2</v>
      </c>
    </row>
    <row r="48" spans="2:3" x14ac:dyDescent="0.2">
      <c r="B48">
        <v>42</v>
      </c>
      <c r="C48">
        <v>4</v>
      </c>
    </row>
    <row r="49" spans="2:3" x14ac:dyDescent="0.2">
      <c r="B49">
        <v>43</v>
      </c>
      <c r="C49">
        <v>0</v>
      </c>
    </row>
    <row r="50" spans="2:3" x14ac:dyDescent="0.2">
      <c r="B50">
        <v>44</v>
      </c>
      <c r="C50">
        <v>4</v>
      </c>
    </row>
    <row r="51" spans="2:3" x14ac:dyDescent="0.2">
      <c r="B51">
        <v>45</v>
      </c>
      <c r="C51">
        <v>2</v>
      </c>
    </row>
    <row r="52" spans="2:3" x14ac:dyDescent="0.2">
      <c r="B52">
        <v>46</v>
      </c>
      <c r="C52">
        <v>0</v>
      </c>
    </row>
    <row r="53" spans="2:3" x14ac:dyDescent="0.2">
      <c r="B53">
        <v>47</v>
      </c>
      <c r="C53">
        <v>2</v>
      </c>
    </row>
    <row r="54" spans="2:3" x14ac:dyDescent="0.2">
      <c r="B54">
        <v>48</v>
      </c>
      <c r="C54">
        <v>7</v>
      </c>
    </row>
    <row r="55" spans="2:3" x14ac:dyDescent="0.2">
      <c r="B55">
        <v>49</v>
      </c>
      <c r="C55">
        <v>3</v>
      </c>
    </row>
    <row r="56" spans="2:3" x14ac:dyDescent="0.2">
      <c r="B56">
        <v>50</v>
      </c>
      <c r="C56">
        <v>1</v>
      </c>
    </row>
    <row r="57" spans="2:3" x14ac:dyDescent="0.2">
      <c r="B57">
        <v>51</v>
      </c>
      <c r="C57">
        <v>2</v>
      </c>
    </row>
    <row r="58" spans="2:3" x14ac:dyDescent="0.2">
      <c r="B58">
        <v>52</v>
      </c>
      <c r="C58">
        <v>2</v>
      </c>
    </row>
    <row r="59" spans="2:3" x14ac:dyDescent="0.2">
      <c r="B59">
        <v>53</v>
      </c>
      <c r="C59">
        <v>5</v>
      </c>
    </row>
    <row r="60" spans="2:3" x14ac:dyDescent="0.2">
      <c r="B60">
        <v>54</v>
      </c>
      <c r="C60">
        <v>6</v>
      </c>
    </row>
    <row r="61" spans="2:3" x14ac:dyDescent="0.2">
      <c r="B61">
        <v>55</v>
      </c>
      <c r="C61">
        <v>0</v>
      </c>
    </row>
    <row r="62" spans="2:3" x14ac:dyDescent="0.2">
      <c r="B62">
        <v>56</v>
      </c>
      <c r="C62">
        <v>5</v>
      </c>
    </row>
    <row r="63" spans="2:3" x14ac:dyDescent="0.2">
      <c r="B63">
        <v>57</v>
      </c>
      <c r="C63">
        <v>7</v>
      </c>
    </row>
    <row r="64" spans="2:3" x14ac:dyDescent="0.2">
      <c r="B64">
        <v>58</v>
      </c>
      <c r="C64">
        <v>1</v>
      </c>
    </row>
    <row r="65" spans="2:3" x14ac:dyDescent="0.2">
      <c r="B65">
        <v>59</v>
      </c>
      <c r="C65">
        <v>5</v>
      </c>
    </row>
    <row r="66" spans="2:3" x14ac:dyDescent="0.2">
      <c r="B66">
        <v>60</v>
      </c>
      <c r="C66">
        <v>12</v>
      </c>
    </row>
    <row r="67" spans="2:3" x14ac:dyDescent="0.2">
      <c r="B67">
        <v>61</v>
      </c>
      <c r="C67">
        <v>7</v>
      </c>
    </row>
    <row r="68" spans="2:3" x14ac:dyDescent="0.2">
      <c r="B68">
        <v>62</v>
      </c>
      <c r="C68">
        <v>2</v>
      </c>
    </row>
    <row r="69" spans="2:3" x14ac:dyDescent="0.2">
      <c r="B69">
        <v>63</v>
      </c>
      <c r="C69">
        <v>25</v>
      </c>
    </row>
    <row r="70" spans="2:3" x14ac:dyDescent="0.2">
      <c r="B70">
        <v>64</v>
      </c>
      <c r="C70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79F5-8540-E448-AAE2-2BD55EB1A824}">
  <dimension ref="A1:AC193"/>
  <sheetViews>
    <sheetView zoomScale="142" workbookViewId="0">
      <pane ySplit="1" topLeftCell="A169" activePane="bottomLeft" state="frozen"/>
      <selection pane="bottomLeft" activeCell="F185" sqref="F185"/>
    </sheetView>
  </sheetViews>
  <sheetFormatPr baseColWidth="10" defaultRowHeight="15" x14ac:dyDescent="0.2"/>
  <cols>
    <col min="1" max="1" width="10" customWidth="1"/>
    <col min="2" max="2" width="6.6640625" bestFit="1" customWidth="1"/>
    <col min="3" max="3" width="5" bestFit="1" customWidth="1"/>
    <col min="4" max="4" width="11.33203125" bestFit="1" customWidth="1"/>
    <col min="5" max="5" width="9.83203125" bestFit="1" customWidth="1"/>
    <col min="6" max="6" width="15.83203125" bestFit="1" customWidth="1"/>
    <col min="7" max="9" width="18.1640625" bestFit="1" customWidth="1"/>
    <col min="10" max="10" width="15" bestFit="1" customWidth="1"/>
    <col min="11" max="11" width="16" bestFit="1" customWidth="1"/>
    <col min="12" max="20" width="17" bestFit="1" customWidth="1"/>
    <col min="21" max="21" width="18" bestFit="1" customWidth="1"/>
    <col min="22" max="22" width="9.6640625" bestFit="1" customWidth="1"/>
    <col min="23" max="27" width="15.83203125" bestFit="1" customWidth="1"/>
    <col min="29" max="29" width="5.5" bestFit="1" customWidth="1"/>
  </cols>
  <sheetData>
    <row r="1" spans="1:29" s="7" customFormat="1" x14ac:dyDescent="0.2">
      <c r="A1" s="7" t="s">
        <v>4</v>
      </c>
      <c r="B1" s="7" t="s">
        <v>3</v>
      </c>
      <c r="C1" s="7" t="s">
        <v>7</v>
      </c>
      <c r="D1" s="7" t="s">
        <v>13</v>
      </c>
      <c r="E1" s="7" t="s">
        <v>157</v>
      </c>
      <c r="F1" s="7" t="s">
        <v>109</v>
      </c>
      <c r="G1" s="7" t="s">
        <v>110</v>
      </c>
      <c r="H1" s="7" t="s">
        <v>111</v>
      </c>
      <c r="I1" s="7" t="s">
        <v>112</v>
      </c>
      <c r="AC1" s="7" t="s">
        <v>21</v>
      </c>
    </row>
    <row r="2" spans="1:29" x14ac:dyDescent="0.2">
      <c r="A2" s="5">
        <v>46159</v>
      </c>
      <c r="B2">
        <v>1</v>
      </c>
      <c r="C2">
        <v>1</v>
      </c>
      <c r="D2">
        <v>1</v>
      </c>
      <c r="E2">
        <v>100</v>
      </c>
      <c r="F2">
        <v>15.1</v>
      </c>
      <c r="G2">
        <v>6.9</v>
      </c>
      <c r="H2">
        <v>3</v>
      </c>
      <c r="I2">
        <v>4.5999999999999996</v>
      </c>
    </row>
    <row r="3" spans="1:29" x14ac:dyDescent="0.2">
      <c r="A3" s="5">
        <v>46159</v>
      </c>
      <c r="B3">
        <v>1</v>
      </c>
      <c r="C3">
        <v>2</v>
      </c>
      <c r="D3">
        <v>1</v>
      </c>
      <c r="E3">
        <v>100</v>
      </c>
      <c r="F3">
        <v>14.3</v>
      </c>
      <c r="G3">
        <v>5.2</v>
      </c>
      <c r="H3">
        <v>10.8</v>
      </c>
      <c r="I3">
        <v>8.1</v>
      </c>
    </row>
    <row r="4" spans="1:29" x14ac:dyDescent="0.2">
      <c r="A4" s="5">
        <v>46159</v>
      </c>
      <c r="B4">
        <v>1</v>
      </c>
      <c r="C4">
        <v>3</v>
      </c>
      <c r="D4">
        <v>2</v>
      </c>
      <c r="E4">
        <v>100</v>
      </c>
      <c r="F4">
        <v>8.1999999999999993</v>
      </c>
      <c r="G4">
        <v>4.3</v>
      </c>
      <c r="H4">
        <v>6.4</v>
      </c>
      <c r="I4">
        <v>7.3</v>
      </c>
    </row>
    <row r="5" spans="1:29" x14ac:dyDescent="0.2">
      <c r="A5" s="5">
        <v>46159</v>
      </c>
      <c r="B5">
        <v>2</v>
      </c>
      <c r="C5">
        <v>1</v>
      </c>
      <c r="D5">
        <v>3</v>
      </c>
      <c r="E5">
        <v>95</v>
      </c>
      <c r="F5">
        <v>8.1999999999999993</v>
      </c>
      <c r="G5">
        <v>3.9</v>
      </c>
      <c r="H5">
        <v>7.6</v>
      </c>
      <c r="I5">
        <v>0</v>
      </c>
    </row>
    <row r="6" spans="1:29" x14ac:dyDescent="0.2">
      <c r="A6" s="5">
        <v>46159</v>
      </c>
      <c r="B6">
        <v>2</v>
      </c>
      <c r="C6">
        <v>2</v>
      </c>
      <c r="D6">
        <v>4</v>
      </c>
      <c r="E6">
        <v>80</v>
      </c>
      <c r="F6">
        <v>11.7</v>
      </c>
      <c r="G6">
        <v>2.8</v>
      </c>
      <c r="H6">
        <v>7.6</v>
      </c>
      <c r="I6">
        <v>8.5</v>
      </c>
    </row>
    <row r="7" spans="1:29" x14ac:dyDescent="0.2">
      <c r="A7" s="5">
        <v>46159</v>
      </c>
      <c r="B7">
        <v>2</v>
      </c>
      <c r="C7">
        <v>3</v>
      </c>
      <c r="D7">
        <v>3</v>
      </c>
      <c r="E7">
        <v>70</v>
      </c>
      <c r="F7">
        <v>9.1999999999999993</v>
      </c>
      <c r="G7">
        <v>4.3</v>
      </c>
      <c r="H7">
        <v>2.7</v>
      </c>
      <c r="I7">
        <v>4.8</v>
      </c>
    </row>
    <row r="8" spans="1:29" x14ac:dyDescent="0.2">
      <c r="A8" s="5">
        <v>46159</v>
      </c>
      <c r="B8">
        <v>3</v>
      </c>
      <c r="C8">
        <v>1</v>
      </c>
      <c r="D8">
        <v>3</v>
      </c>
      <c r="E8">
        <v>60</v>
      </c>
      <c r="F8">
        <v>9.6</v>
      </c>
      <c r="G8">
        <v>0</v>
      </c>
      <c r="H8">
        <v>5.9</v>
      </c>
      <c r="I8">
        <v>2.5</v>
      </c>
    </row>
    <row r="9" spans="1:29" x14ac:dyDescent="0.2">
      <c r="A9" s="5">
        <v>46159</v>
      </c>
      <c r="B9">
        <v>3</v>
      </c>
      <c r="C9">
        <v>2</v>
      </c>
      <c r="D9">
        <v>2</v>
      </c>
      <c r="E9">
        <v>55</v>
      </c>
      <c r="F9">
        <v>12.4</v>
      </c>
      <c r="G9">
        <v>6.8</v>
      </c>
      <c r="H9">
        <v>9.3000000000000007</v>
      </c>
      <c r="I9">
        <v>6.3</v>
      </c>
    </row>
    <row r="10" spans="1:29" x14ac:dyDescent="0.2">
      <c r="A10" s="5">
        <v>46159</v>
      </c>
      <c r="B10">
        <v>3</v>
      </c>
      <c r="C10">
        <v>3</v>
      </c>
      <c r="D10">
        <v>1</v>
      </c>
      <c r="E10">
        <v>50</v>
      </c>
      <c r="F10">
        <v>11.5</v>
      </c>
      <c r="G10">
        <v>4.5999999999999996</v>
      </c>
      <c r="H10">
        <v>4.9000000000000004</v>
      </c>
      <c r="I10">
        <v>8</v>
      </c>
    </row>
    <row r="11" spans="1:29" x14ac:dyDescent="0.2">
      <c r="A11" s="5">
        <v>46159</v>
      </c>
      <c r="B11">
        <v>4</v>
      </c>
      <c r="C11">
        <v>1</v>
      </c>
      <c r="D11">
        <v>2</v>
      </c>
      <c r="E11">
        <v>30</v>
      </c>
      <c r="F11">
        <v>7.1</v>
      </c>
      <c r="G11">
        <v>3.9</v>
      </c>
      <c r="H11">
        <v>0</v>
      </c>
      <c r="I11">
        <v>0</v>
      </c>
    </row>
    <row r="12" spans="1:29" x14ac:dyDescent="0.2">
      <c r="A12" s="5">
        <v>46159</v>
      </c>
      <c r="B12">
        <v>4</v>
      </c>
      <c r="C12">
        <v>2</v>
      </c>
      <c r="D12">
        <v>2</v>
      </c>
      <c r="E12">
        <v>45</v>
      </c>
      <c r="F12">
        <v>4.5999999999999996</v>
      </c>
      <c r="G12">
        <v>3.9</v>
      </c>
      <c r="H12">
        <v>2.6</v>
      </c>
      <c r="I12">
        <v>1.7</v>
      </c>
    </row>
    <row r="13" spans="1:29" x14ac:dyDescent="0.2">
      <c r="A13" s="5">
        <v>46159</v>
      </c>
      <c r="B13">
        <v>4</v>
      </c>
      <c r="C13">
        <v>3</v>
      </c>
      <c r="D13">
        <v>5</v>
      </c>
      <c r="E13">
        <v>100</v>
      </c>
      <c r="F13">
        <v>12.3</v>
      </c>
      <c r="G13">
        <v>4.2</v>
      </c>
      <c r="H13">
        <v>5</v>
      </c>
      <c r="I13">
        <v>5.2</v>
      </c>
    </row>
    <row r="14" spans="1:29" x14ac:dyDescent="0.2">
      <c r="A14" s="5">
        <v>46159</v>
      </c>
      <c r="B14">
        <v>5</v>
      </c>
      <c r="C14">
        <v>1</v>
      </c>
      <c r="D14">
        <v>2</v>
      </c>
      <c r="E14">
        <v>100</v>
      </c>
      <c r="F14">
        <v>7.6</v>
      </c>
      <c r="G14">
        <v>3.4</v>
      </c>
      <c r="H14">
        <v>6.2</v>
      </c>
      <c r="I14">
        <v>4.4000000000000004</v>
      </c>
    </row>
    <row r="15" spans="1:29" x14ac:dyDescent="0.2">
      <c r="A15" s="5">
        <v>46159</v>
      </c>
      <c r="B15">
        <v>5</v>
      </c>
      <c r="C15">
        <v>2</v>
      </c>
      <c r="D15">
        <v>3</v>
      </c>
      <c r="E15">
        <v>95</v>
      </c>
      <c r="F15">
        <v>15.2</v>
      </c>
      <c r="G15">
        <v>5.9</v>
      </c>
      <c r="H15">
        <v>7.4</v>
      </c>
      <c r="I15">
        <v>10.199999999999999</v>
      </c>
    </row>
    <row r="16" spans="1:29" x14ac:dyDescent="0.2">
      <c r="A16" s="5">
        <v>46159</v>
      </c>
      <c r="B16">
        <v>5</v>
      </c>
      <c r="C16">
        <v>3</v>
      </c>
      <c r="D16">
        <v>2</v>
      </c>
      <c r="E16">
        <v>100</v>
      </c>
      <c r="F16">
        <v>6.4</v>
      </c>
      <c r="G16">
        <v>3.2</v>
      </c>
      <c r="H16">
        <v>4.8</v>
      </c>
      <c r="I16">
        <v>5.3</v>
      </c>
    </row>
    <row r="17" spans="1:9" x14ac:dyDescent="0.2">
      <c r="A17" s="5">
        <v>46159</v>
      </c>
      <c r="B17">
        <v>6</v>
      </c>
      <c r="C17">
        <v>1</v>
      </c>
      <c r="D17">
        <v>5</v>
      </c>
      <c r="E17">
        <v>100</v>
      </c>
      <c r="F17">
        <v>11.7</v>
      </c>
      <c r="G17">
        <v>2.4</v>
      </c>
      <c r="H17">
        <v>7.4</v>
      </c>
      <c r="I17">
        <v>4.9000000000000004</v>
      </c>
    </row>
    <row r="18" spans="1:9" x14ac:dyDescent="0.2">
      <c r="A18" s="5">
        <v>46159</v>
      </c>
      <c r="B18">
        <v>6</v>
      </c>
      <c r="C18">
        <v>2</v>
      </c>
      <c r="D18">
        <v>2</v>
      </c>
      <c r="E18">
        <v>100</v>
      </c>
      <c r="F18">
        <v>7.2</v>
      </c>
      <c r="G18">
        <v>6.1</v>
      </c>
      <c r="H18">
        <v>4.2</v>
      </c>
      <c r="I18">
        <v>1.8</v>
      </c>
    </row>
    <row r="19" spans="1:9" x14ac:dyDescent="0.2">
      <c r="A19" s="5">
        <v>46159</v>
      </c>
      <c r="B19">
        <v>6</v>
      </c>
      <c r="C19">
        <v>3</v>
      </c>
      <c r="D19">
        <v>5</v>
      </c>
      <c r="E19">
        <v>90</v>
      </c>
      <c r="F19">
        <v>16.3</v>
      </c>
      <c r="G19">
        <v>6.8</v>
      </c>
      <c r="H19">
        <v>3.1</v>
      </c>
      <c r="I19">
        <v>5.7</v>
      </c>
    </row>
    <row r="20" spans="1:9" x14ac:dyDescent="0.2">
      <c r="A20" s="5">
        <v>46159</v>
      </c>
      <c r="B20">
        <v>7</v>
      </c>
      <c r="C20">
        <v>1</v>
      </c>
      <c r="D20">
        <v>4</v>
      </c>
      <c r="E20">
        <v>80</v>
      </c>
      <c r="F20">
        <v>11.5</v>
      </c>
      <c r="G20">
        <v>5.7</v>
      </c>
      <c r="H20">
        <v>6.1</v>
      </c>
      <c r="I20">
        <v>6.7</v>
      </c>
    </row>
    <row r="21" spans="1:9" x14ac:dyDescent="0.2">
      <c r="A21" s="5">
        <v>46159</v>
      </c>
      <c r="B21">
        <v>7</v>
      </c>
      <c r="C21">
        <v>2</v>
      </c>
      <c r="D21">
        <v>2</v>
      </c>
      <c r="E21">
        <v>50</v>
      </c>
      <c r="F21">
        <v>11.4</v>
      </c>
      <c r="G21">
        <v>5.2</v>
      </c>
      <c r="H21">
        <v>5.9</v>
      </c>
      <c r="I21">
        <v>4.7</v>
      </c>
    </row>
    <row r="22" spans="1:9" x14ac:dyDescent="0.2">
      <c r="A22" s="5">
        <v>46159</v>
      </c>
      <c r="B22">
        <v>7</v>
      </c>
      <c r="C22">
        <v>3</v>
      </c>
      <c r="D22">
        <v>3</v>
      </c>
      <c r="E22">
        <v>55</v>
      </c>
      <c r="F22">
        <v>9.6</v>
      </c>
      <c r="G22">
        <v>5.4</v>
      </c>
      <c r="H22">
        <v>7.1</v>
      </c>
      <c r="I22">
        <v>6.8</v>
      </c>
    </row>
    <row r="23" spans="1:9" x14ac:dyDescent="0.2">
      <c r="A23" s="5">
        <v>46159</v>
      </c>
      <c r="B23">
        <v>8</v>
      </c>
      <c r="C23">
        <v>1</v>
      </c>
      <c r="D23">
        <v>5</v>
      </c>
      <c r="E23">
        <v>100</v>
      </c>
      <c r="F23">
        <v>12.4</v>
      </c>
      <c r="G23">
        <v>8.5</v>
      </c>
      <c r="H23">
        <v>4.5999999999999996</v>
      </c>
      <c r="I23">
        <v>7.6</v>
      </c>
    </row>
    <row r="24" spans="1:9" x14ac:dyDescent="0.2">
      <c r="A24" s="5">
        <v>46159</v>
      </c>
      <c r="B24">
        <v>8</v>
      </c>
      <c r="C24">
        <v>2</v>
      </c>
      <c r="D24">
        <v>5</v>
      </c>
      <c r="E24">
        <v>95</v>
      </c>
      <c r="F24">
        <v>13.7</v>
      </c>
      <c r="G24">
        <v>5.2</v>
      </c>
      <c r="H24">
        <v>4.7</v>
      </c>
      <c r="I24">
        <v>4.4000000000000004</v>
      </c>
    </row>
    <row r="25" spans="1:9" x14ac:dyDescent="0.2">
      <c r="A25" s="5">
        <v>46159</v>
      </c>
      <c r="B25">
        <v>8</v>
      </c>
      <c r="C25">
        <v>3</v>
      </c>
      <c r="D25">
        <v>2</v>
      </c>
      <c r="E25">
        <v>80</v>
      </c>
      <c r="F25">
        <v>10.9</v>
      </c>
      <c r="G25">
        <v>5.0999999999999996</v>
      </c>
      <c r="H25">
        <v>6.5</v>
      </c>
      <c r="I25">
        <v>4.3</v>
      </c>
    </row>
    <row r="26" spans="1:9" x14ac:dyDescent="0.2">
      <c r="A26" s="5">
        <v>46159</v>
      </c>
      <c r="B26">
        <v>9</v>
      </c>
      <c r="C26">
        <v>1</v>
      </c>
      <c r="D26">
        <v>0</v>
      </c>
      <c r="E26">
        <v>20</v>
      </c>
      <c r="F26">
        <v>2.5</v>
      </c>
      <c r="G26">
        <v>1.6</v>
      </c>
      <c r="H26">
        <v>0</v>
      </c>
      <c r="I26">
        <v>0</v>
      </c>
    </row>
    <row r="27" spans="1:9" x14ac:dyDescent="0.2">
      <c r="A27" s="5">
        <v>46159</v>
      </c>
      <c r="B27">
        <v>9</v>
      </c>
      <c r="C27">
        <v>2</v>
      </c>
      <c r="D27">
        <v>3</v>
      </c>
      <c r="E27">
        <v>40</v>
      </c>
      <c r="F27">
        <v>10.1</v>
      </c>
      <c r="G27">
        <v>3.7</v>
      </c>
      <c r="H27">
        <v>4.7</v>
      </c>
      <c r="I27">
        <v>6.8</v>
      </c>
    </row>
    <row r="28" spans="1:9" x14ac:dyDescent="0.2">
      <c r="A28" s="5">
        <v>46159</v>
      </c>
      <c r="B28">
        <v>9</v>
      </c>
      <c r="C28">
        <v>3</v>
      </c>
      <c r="D28">
        <v>0</v>
      </c>
      <c r="E28">
        <v>70</v>
      </c>
      <c r="F28">
        <v>9.4</v>
      </c>
      <c r="G28">
        <v>4.5999999999999996</v>
      </c>
      <c r="H28">
        <v>6.7</v>
      </c>
      <c r="I28">
        <v>3.6</v>
      </c>
    </row>
    <row r="29" spans="1:9" x14ac:dyDescent="0.2">
      <c r="A29" s="5">
        <v>46159</v>
      </c>
      <c r="B29">
        <v>10</v>
      </c>
      <c r="C29">
        <v>1</v>
      </c>
      <c r="D29">
        <v>4</v>
      </c>
      <c r="E29">
        <v>90</v>
      </c>
      <c r="F29">
        <v>11.8</v>
      </c>
      <c r="G29">
        <v>5.8</v>
      </c>
      <c r="H29">
        <v>3.2</v>
      </c>
      <c r="I29">
        <v>8.1</v>
      </c>
    </row>
    <row r="30" spans="1:9" x14ac:dyDescent="0.2">
      <c r="A30" s="5">
        <v>46159</v>
      </c>
      <c r="B30">
        <v>10</v>
      </c>
      <c r="C30">
        <v>2</v>
      </c>
      <c r="D30">
        <v>2</v>
      </c>
      <c r="E30">
        <v>95</v>
      </c>
      <c r="F30">
        <v>13.9</v>
      </c>
      <c r="G30">
        <v>5.4</v>
      </c>
      <c r="H30">
        <v>4.7</v>
      </c>
      <c r="I30">
        <v>6.2</v>
      </c>
    </row>
    <row r="31" spans="1:9" x14ac:dyDescent="0.2">
      <c r="A31" s="5">
        <v>46159</v>
      </c>
      <c r="B31">
        <v>10</v>
      </c>
      <c r="C31">
        <v>3</v>
      </c>
      <c r="D31">
        <v>3</v>
      </c>
      <c r="E31">
        <v>100</v>
      </c>
      <c r="F31">
        <v>13.3</v>
      </c>
      <c r="G31">
        <v>5.6</v>
      </c>
      <c r="H31">
        <v>6.1</v>
      </c>
      <c r="I31">
        <v>6.4</v>
      </c>
    </row>
    <row r="32" spans="1:9" x14ac:dyDescent="0.2">
      <c r="A32" s="5">
        <v>46159</v>
      </c>
      <c r="B32">
        <v>11</v>
      </c>
      <c r="C32">
        <v>1</v>
      </c>
      <c r="D32">
        <v>5</v>
      </c>
      <c r="E32">
        <v>100</v>
      </c>
      <c r="F32">
        <v>12.6</v>
      </c>
      <c r="G32">
        <v>5.8</v>
      </c>
      <c r="H32">
        <v>6.1</v>
      </c>
      <c r="I32">
        <v>3.6</v>
      </c>
    </row>
    <row r="33" spans="1:9" x14ac:dyDescent="0.2">
      <c r="A33" s="5">
        <v>46159</v>
      </c>
      <c r="B33">
        <v>11</v>
      </c>
      <c r="C33">
        <v>2</v>
      </c>
      <c r="D33">
        <v>2</v>
      </c>
      <c r="E33">
        <v>75</v>
      </c>
      <c r="F33">
        <v>9.6999999999999993</v>
      </c>
      <c r="G33">
        <v>6.9</v>
      </c>
      <c r="H33">
        <v>7.4</v>
      </c>
      <c r="I33">
        <v>7.5</v>
      </c>
    </row>
    <row r="34" spans="1:9" x14ac:dyDescent="0.2">
      <c r="A34" s="5">
        <v>46159</v>
      </c>
      <c r="B34">
        <v>11</v>
      </c>
      <c r="C34">
        <v>3</v>
      </c>
      <c r="D34">
        <v>3</v>
      </c>
      <c r="E34">
        <v>95</v>
      </c>
      <c r="F34">
        <v>12.5</v>
      </c>
      <c r="G34">
        <v>3.7</v>
      </c>
      <c r="H34">
        <v>4.2</v>
      </c>
      <c r="I34">
        <v>11.7</v>
      </c>
    </row>
    <row r="35" spans="1:9" x14ac:dyDescent="0.2">
      <c r="A35" s="5">
        <v>46159</v>
      </c>
      <c r="B35">
        <v>12</v>
      </c>
      <c r="C35">
        <v>1</v>
      </c>
      <c r="D35">
        <v>0</v>
      </c>
      <c r="E35">
        <v>50</v>
      </c>
      <c r="F35">
        <v>6.3</v>
      </c>
      <c r="G35">
        <v>0</v>
      </c>
      <c r="H35">
        <v>5.2</v>
      </c>
      <c r="I35">
        <v>3.2</v>
      </c>
    </row>
    <row r="36" spans="1:9" x14ac:dyDescent="0.2">
      <c r="A36" s="5">
        <v>46159</v>
      </c>
      <c r="B36">
        <v>12</v>
      </c>
      <c r="C36">
        <v>2</v>
      </c>
      <c r="D36">
        <v>1</v>
      </c>
      <c r="E36">
        <v>10</v>
      </c>
      <c r="F36">
        <v>6.1</v>
      </c>
      <c r="G36">
        <v>0</v>
      </c>
      <c r="H36">
        <v>4.2</v>
      </c>
      <c r="I36">
        <v>3.5</v>
      </c>
    </row>
    <row r="37" spans="1:9" x14ac:dyDescent="0.2">
      <c r="A37" s="5">
        <v>46159</v>
      </c>
      <c r="B37">
        <v>12</v>
      </c>
      <c r="C37">
        <v>3</v>
      </c>
      <c r="D37">
        <v>1</v>
      </c>
      <c r="E37">
        <v>10</v>
      </c>
      <c r="F37">
        <v>6.4</v>
      </c>
      <c r="G37">
        <v>2.8</v>
      </c>
      <c r="H37">
        <v>0</v>
      </c>
      <c r="I37">
        <v>0.7</v>
      </c>
    </row>
    <row r="38" spans="1:9" x14ac:dyDescent="0.2">
      <c r="A38" s="5">
        <v>46159</v>
      </c>
      <c r="B38">
        <v>13</v>
      </c>
      <c r="C38">
        <v>1</v>
      </c>
      <c r="D38">
        <v>0</v>
      </c>
      <c r="E38">
        <v>10</v>
      </c>
      <c r="F38">
        <v>3.3</v>
      </c>
      <c r="G38">
        <v>0</v>
      </c>
      <c r="H38">
        <v>0</v>
      </c>
      <c r="I38">
        <v>0</v>
      </c>
    </row>
    <row r="39" spans="1:9" x14ac:dyDescent="0.2">
      <c r="A39" s="5">
        <v>46159</v>
      </c>
      <c r="B39">
        <v>13</v>
      </c>
      <c r="C39">
        <v>2</v>
      </c>
      <c r="D39">
        <v>0</v>
      </c>
      <c r="E39">
        <v>15</v>
      </c>
      <c r="F39">
        <v>5.7</v>
      </c>
      <c r="G39">
        <v>0</v>
      </c>
      <c r="H39">
        <v>0</v>
      </c>
      <c r="I39">
        <v>1.5</v>
      </c>
    </row>
    <row r="40" spans="1:9" x14ac:dyDescent="0.2">
      <c r="A40" s="5">
        <v>46159</v>
      </c>
      <c r="B40">
        <v>13</v>
      </c>
      <c r="C40">
        <v>3</v>
      </c>
      <c r="D40">
        <v>1</v>
      </c>
      <c r="E40">
        <v>10</v>
      </c>
      <c r="F40">
        <v>8.4</v>
      </c>
      <c r="G40">
        <v>0</v>
      </c>
      <c r="H40">
        <v>0</v>
      </c>
      <c r="I40">
        <v>1.4</v>
      </c>
    </row>
    <row r="41" spans="1:9" x14ac:dyDescent="0.2">
      <c r="A41" s="5">
        <v>46159</v>
      </c>
      <c r="B41">
        <v>14</v>
      </c>
      <c r="C41">
        <v>1</v>
      </c>
      <c r="D41">
        <v>4</v>
      </c>
      <c r="E41">
        <v>50</v>
      </c>
      <c r="F41">
        <v>7.6</v>
      </c>
      <c r="G41">
        <v>2.4</v>
      </c>
      <c r="H41">
        <v>0</v>
      </c>
      <c r="I41">
        <v>1.9</v>
      </c>
    </row>
    <row r="42" spans="1:9" x14ac:dyDescent="0.2">
      <c r="A42" s="5">
        <v>46159</v>
      </c>
      <c r="B42">
        <v>14</v>
      </c>
      <c r="C42">
        <v>2</v>
      </c>
      <c r="D42">
        <v>3</v>
      </c>
      <c r="E42">
        <v>85</v>
      </c>
      <c r="F42">
        <v>10.5</v>
      </c>
      <c r="G42">
        <v>3.5</v>
      </c>
      <c r="H42">
        <v>8.1999999999999993</v>
      </c>
      <c r="I42">
        <v>2.8</v>
      </c>
    </row>
    <row r="43" spans="1:9" x14ac:dyDescent="0.2">
      <c r="A43" s="5">
        <v>46159</v>
      </c>
      <c r="B43">
        <v>14</v>
      </c>
      <c r="C43">
        <v>3</v>
      </c>
      <c r="D43">
        <v>1</v>
      </c>
      <c r="E43">
        <v>40</v>
      </c>
      <c r="F43">
        <v>10.5</v>
      </c>
      <c r="G43">
        <v>5.2</v>
      </c>
      <c r="H43">
        <v>0</v>
      </c>
      <c r="I43">
        <v>3.4</v>
      </c>
    </row>
    <row r="44" spans="1:9" x14ac:dyDescent="0.2">
      <c r="A44" s="5">
        <v>46159</v>
      </c>
      <c r="B44">
        <v>15</v>
      </c>
      <c r="C44">
        <v>1</v>
      </c>
      <c r="D44">
        <v>3</v>
      </c>
      <c r="E44">
        <v>70</v>
      </c>
      <c r="F44">
        <v>9.6999999999999993</v>
      </c>
      <c r="G44">
        <v>3.4</v>
      </c>
      <c r="H44">
        <v>0</v>
      </c>
      <c r="I44">
        <v>8</v>
      </c>
    </row>
    <row r="45" spans="1:9" x14ac:dyDescent="0.2">
      <c r="A45" s="5">
        <v>46159</v>
      </c>
      <c r="B45">
        <v>15</v>
      </c>
      <c r="C45">
        <v>2</v>
      </c>
      <c r="D45">
        <v>3</v>
      </c>
      <c r="E45">
        <v>90</v>
      </c>
      <c r="F45">
        <v>12.7</v>
      </c>
      <c r="G45">
        <v>4.9000000000000004</v>
      </c>
      <c r="H45">
        <v>7.6</v>
      </c>
      <c r="I45">
        <v>4.5</v>
      </c>
    </row>
    <row r="46" spans="1:9" x14ac:dyDescent="0.2">
      <c r="A46" s="5">
        <v>46159</v>
      </c>
      <c r="B46">
        <v>15</v>
      </c>
      <c r="C46">
        <v>3</v>
      </c>
      <c r="D46">
        <v>1</v>
      </c>
      <c r="E46">
        <v>35</v>
      </c>
      <c r="F46">
        <v>7.1</v>
      </c>
      <c r="G46">
        <v>1.1000000000000001</v>
      </c>
      <c r="H46">
        <v>0</v>
      </c>
      <c r="I46">
        <v>3.7</v>
      </c>
    </row>
    <row r="47" spans="1:9" x14ac:dyDescent="0.2">
      <c r="A47" s="5">
        <v>46159</v>
      </c>
      <c r="B47">
        <v>16</v>
      </c>
      <c r="C47">
        <v>1</v>
      </c>
      <c r="D47">
        <v>1</v>
      </c>
      <c r="E47">
        <v>20</v>
      </c>
      <c r="F47">
        <v>5.8</v>
      </c>
      <c r="G47">
        <v>1</v>
      </c>
      <c r="H47">
        <v>0</v>
      </c>
      <c r="I47">
        <v>1.5</v>
      </c>
    </row>
    <row r="48" spans="1:9" x14ac:dyDescent="0.2">
      <c r="A48" s="5">
        <v>46159</v>
      </c>
      <c r="B48">
        <v>16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 s="5">
        <v>46159</v>
      </c>
      <c r="B49">
        <v>16</v>
      </c>
      <c r="C49">
        <v>3</v>
      </c>
      <c r="D49">
        <v>2</v>
      </c>
      <c r="E49">
        <v>50</v>
      </c>
      <c r="F49">
        <v>13.4</v>
      </c>
      <c r="G49">
        <v>3.4</v>
      </c>
      <c r="H49">
        <v>5.8</v>
      </c>
      <c r="I49">
        <v>3</v>
      </c>
    </row>
    <row r="50" spans="1:9" x14ac:dyDescent="0.2">
      <c r="A50" s="5">
        <v>46159</v>
      </c>
      <c r="B50">
        <v>17</v>
      </c>
      <c r="C50">
        <v>1</v>
      </c>
      <c r="D50">
        <v>1</v>
      </c>
      <c r="E50">
        <v>30</v>
      </c>
      <c r="F50">
        <v>7.4</v>
      </c>
      <c r="G50">
        <v>0</v>
      </c>
      <c r="H50">
        <v>5.2</v>
      </c>
      <c r="I50">
        <v>0</v>
      </c>
    </row>
    <row r="51" spans="1:9" x14ac:dyDescent="0.2">
      <c r="A51" s="5">
        <v>46159</v>
      </c>
      <c r="B51">
        <v>17</v>
      </c>
      <c r="C51">
        <v>2</v>
      </c>
      <c r="D51">
        <v>2</v>
      </c>
      <c r="E51">
        <v>60</v>
      </c>
      <c r="F51">
        <v>10.4</v>
      </c>
      <c r="G51">
        <v>4.2</v>
      </c>
      <c r="H51">
        <v>3.8</v>
      </c>
      <c r="I51">
        <v>4.7</v>
      </c>
    </row>
    <row r="52" spans="1:9" x14ac:dyDescent="0.2">
      <c r="A52" s="5">
        <v>46159</v>
      </c>
      <c r="B52">
        <v>17</v>
      </c>
      <c r="C52">
        <v>3</v>
      </c>
      <c r="D52">
        <v>2</v>
      </c>
      <c r="E52">
        <v>20</v>
      </c>
      <c r="F52">
        <v>6.9</v>
      </c>
      <c r="G52">
        <v>0</v>
      </c>
      <c r="H52">
        <v>4.3</v>
      </c>
      <c r="I52">
        <v>3.3</v>
      </c>
    </row>
    <row r="53" spans="1:9" x14ac:dyDescent="0.2">
      <c r="A53" s="5">
        <v>46159</v>
      </c>
      <c r="B53">
        <v>18</v>
      </c>
      <c r="C53">
        <v>1</v>
      </c>
      <c r="D53">
        <v>4</v>
      </c>
      <c r="E53">
        <v>90</v>
      </c>
      <c r="F53">
        <v>14.2</v>
      </c>
      <c r="G53">
        <v>8.1999999999999993</v>
      </c>
      <c r="H53">
        <v>4</v>
      </c>
      <c r="I53">
        <v>3.5</v>
      </c>
    </row>
    <row r="54" spans="1:9" x14ac:dyDescent="0.2">
      <c r="A54" s="5">
        <v>46159</v>
      </c>
      <c r="B54">
        <v>18</v>
      </c>
      <c r="C54">
        <v>2</v>
      </c>
      <c r="D54">
        <v>3</v>
      </c>
      <c r="E54">
        <v>85</v>
      </c>
      <c r="F54">
        <v>11.2</v>
      </c>
      <c r="G54">
        <v>6.5</v>
      </c>
      <c r="H54">
        <v>4.3</v>
      </c>
      <c r="I54">
        <v>5.0999999999999996</v>
      </c>
    </row>
    <row r="55" spans="1:9" x14ac:dyDescent="0.2">
      <c r="A55" s="5">
        <v>46159</v>
      </c>
      <c r="B55">
        <v>18</v>
      </c>
      <c r="C55">
        <v>3</v>
      </c>
      <c r="D55">
        <v>2</v>
      </c>
      <c r="E55">
        <v>50</v>
      </c>
      <c r="F55">
        <v>9.6999999999999993</v>
      </c>
      <c r="G55">
        <v>1.7</v>
      </c>
      <c r="H55">
        <v>3.1</v>
      </c>
      <c r="I55">
        <v>0</v>
      </c>
    </row>
    <row r="56" spans="1:9" x14ac:dyDescent="0.2">
      <c r="A56" s="5">
        <v>46159</v>
      </c>
      <c r="B56">
        <v>19</v>
      </c>
      <c r="C56">
        <v>1</v>
      </c>
      <c r="D56">
        <v>1</v>
      </c>
      <c r="E56">
        <v>70</v>
      </c>
      <c r="F56">
        <v>10.199999999999999</v>
      </c>
      <c r="G56">
        <v>3.2</v>
      </c>
      <c r="H56">
        <v>2.6</v>
      </c>
      <c r="I56">
        <v>5.4</v>
      </c>
    </row>
    <row r="57" spans="1:9" x14ac:dyDescent="0.2">
      <c r="A57" s="5">
        <v>46159</v>
      </c>
      <c r="B57">
        <v>19</v>
      </c>
      <c r="C57">
        <v>2</v>
      </c>
      <c r="D57">
        <v>0</v>
      </c>
      <c r="E57">
        <v>60</v>
      </c>
      <c r="F57">
        <v>9.8000000000000007</v>
      </c>
      <c r="G57">
        <v>3.7</v>
      </c>
      <c r="H57">
        <v>5.9</v>
      </c>
      <c r="I57">
        <v>0</v>
      </c>
    </row>
    <row r="58" spans="1:9" x14ac:dyDescent="0.2">
      <c r="A58" s="5">
        <v>46159</v>
      </c>
      <c r="B58">
        <v>19</v>
      </c>
      <c r="C58">
        <v>3</v>
      </c>
      <c r="D58">
        <v>1</v>
      </c>
      <c r="E58">
        <v>10</v>
      </c>
      <c r="F58">
        <v>3.9</v>
      </c>
      <c r="G58">
        <v>3.4</v>
      </c>
      <c r="H58">
        <v>0</v>
      </c>
      <c r="I58">
        <v>1</v>
      </c>
    </row>
    <row r="59" spans="1:9" x14ac:dyDescent="0.2">
      <c r="A59" s="5">
        <v>46159</v>
      </c>
      <c r="B59">
        <v>20</v>
      </c>
      <c r="C59">
        <v>1</v>
      </c>
      <c r="D59">
        <v>3</v>
      </c>
      <c r="E59">
        <v>70</v>
      </c>
      <c r="F59">
        <v>16.399999999999999</v>
      </c>
      <c r="G59">
        <v>7</v>
      </c>
      <c r="H59">
        <v>5.5</v>
      </c>
      <c r="I59">
        <v>0</v>
      </c>
    </row>
    <row r="60" spans="1:9" x14ac:dyDescent="0.2">
      <c r="A60" s="5">
        <v>46159</v>
      </c>
      <c r="B60">
        <v>20</v>
      </c>
      <c r="C60">
        <v>2</v>
      </c>
      <c r="D60">
        <v>3</v>
      </c>
      <c r="E60">
        <v>50</v>
      </c>
      <c r="F60">
        <v>10.5</v>
      </c>
      <c r="G60">
        <v>2.7</v>
      </c>
      <c r="H60">
        <v>0</v>
      </c>
      <c r="I60">
        <v>5.9</v>
      </c>
    </row>
    <row r="61" spans="1:9" x14ac:dyDescent="0.2">
      <c r="A61" s="5">
        <v>46159</v>
      </c>
      <c r="B61">
        <v>20</v>
      </c>
      <c r="C61">
        <v>3</v>
      </c>
      <c r="D61">
        <v>3</v>
      </c>
      <c r="E61">
        <v>50</v>
      </c>
      <c r="F61">
        <v>10.9</v>
      </c>
      <c r="G61">
        <v>1.8</v>
      </c>
      <c r="H61">
        <v>9.8000000000000007</v>
      </c>
      <c r="I61">
        <v>3.3</v>
      </c>
    </row>
    <row r="62" spans="1:9" x14ac:dyDescent="0.2">
      <c r="A62" s="5">
        <v>46159</v>
      </c>
      <c r="B62">
        <v>21</v>
      </c>
      <c r="C62">
        <v>1</v>
      </c>
      <c r="D62">
        <v>3</v>
      </c>
      <c r="E62">
        <v>50</v>
      </c>
      <c r="F62">
        <v>3.9</v>
      </c>
      <c r="G62">
        <v>2.6</v>
      </c>
      <c r="H62">
        <v>2.2999999999999998</v>
      </c>
      <c r="I62">
        <v>0</v>
      </c>
    </row>
    <row r="63" spans="1:9" x14ac:dyDescent="0.2">
      <c r="A63" s="5">
        <v>46159</v>
      </c>
      <c r="B63">
        <v>21</v>
      </c>
      <c r="C63">
        <v>2</v>
      </c>
      <c r="D63">
        <v>3</v>
      </c>
      <c r="E63">
        <v>15</v>
      </c>
      <c r="F63">
        <v>11.3</v>
      </c>
      <c r="G63">
        <v>2.9</v>
      </c>
      <c r="H63">
        <v>0</v>
      </c>
      <c r="I63">
        <v>5.9</v>
      </c>
    </row>
    <row r="64" spans="1:9" x14ac:dyDescent="0.2">
      <c r="A64" s="5">
        <v>46159</v>
      </c>
      <c r="B64">
        <v>21</v>
      </c>
      <c r="C64">
        <v>3</v>
      </c>
      <c r="D64">
        <v>3</v>
      </c>
      <c r="E64">
        <v>80</v>
      </c>
      <c r="F64">
        <v>9.6</v>
      </c>
      <c r="G64">
        <v>5.7</v>
      </c>
      <c r="H64">
        <v>3.4</v>
      </c>
      <c r="I64">
        <v>0</v>
      </c>
    </row>
    <row r="65" spans="1:9" x14ac:dyDescent="0.2">
      <c r="A65" s="5">
        <v>46159</v>
      </c>
      <c r="B65">
        <v>22</v>
      </c>
      <c r="C65">
        <v>1</v>
      </c>
      <c r="D65">
        <v>1</v>
      </c>
      <c r="E65">
        <v>10</v>
      </c>
      <c r="F65">
        <v>5</v>
      </c>
      <c r="G65">
        <v>0</v>
      </c>
      <c r="H65">
        <v>0</v>
      </c>
      <c r="I65">
        <v>0</v>
      </c>
    </row>
    <row r="66" spans="1:9" x14ac:dyDescent="0.2">
      <c r="A66" s="5">
        <v>46159</v>
      </c>
      <c r="B66">
        <v>22</v>
      </c>
      <c r="C66">
        <v>2</v>
      </c>
      <c r="D66">
        <v>1</v>
      </c>
      <c r="E66">
        <v>10</v>
      </c>
      <c r="F66">
        <v>4.0999999999999996</v>
      </c>
      <c r="G66">
        <v>1.7</v>
      </c>
      <c r="H66">
        <v>0</v>
      </c>
      <c r="I66">
        <v>0</v>
      </c>
    </row>
    <row r="67" spans="1:9" x14ac:dyDescent="0.2">
      <c r="A67" s="5">
        <v>46159</v>
      </c>
      <c r="B67">
        <v>22</v>
      </c>
      <c r="C67">
        <v>3</v>
      </c>
      <c r="D67">
        <v>1</v>
      </c>
      <c r="E67">
        <v>10</v>
      </c>
      <c r="F67">
        <v>3.8</v>
      </c>
      <c r="G67">
        <v>0</v>
      </c>
      <c r="H67">
        <v>2.1</v>
      </c>
      <c r="I67">
        <v>3.2</v>
      </c>
    </row>
    <row r="68" spans="1:9" x14ac:dyDescent="0.2">
      <c r="A68" s="5">
        <v>46159</v>
      </c>
      <c r="B68">
        <v>23</v>
      </c>
      <c r="C68">
        <v>1</v>
      </c>
      <c r="D68">
        <v>3</v>
      </c>
      <c r="E68">
        <v>100</v>
      </c>
      <c r="F68">
        <v>14.9</v>
      </c>
      <c r="G68">
        <v>8.1999999999999993</v>
      </c>
      <c r="H68">
        <v>5.2</v>
      </c>
      <c r="I68">
        <v>11.6</v>
      </c>
    </row>
    <row r="69" spans="1:9" x14ac:dyDescent="0.2">
      <c r="A69" s="5">
        <v>46159</v>
      </c>
      <c r="B69">
        <v>23</v>
      </c>
      <c r="C69">
        <v>2</v>
      </c>
      <c r="D69">
        <v>2</v>
      </c>
      <c r="E69">
        <v>40</v>
      </c>
      <c r="F69">
        <v>9.4</v>
      </c>
      <c r="G69">
        <v>4.2</v>
      </c>
      <c r="H69">
        <v>3.1</v>
      </c>
      <c r="I69">
        <v>0</v>
      </c>
    </row>
    <row r="70" spans="1:9" x14ac:dyDescent="0.2">
      <c r="A70" s="5">
        <v>46159</v>
      </c>
      <c r="B70">
        <v>23</v>
      </c>
      <c r="C70">
        <v>3</v>
      </c>
      <c r="D70">
        <v>3</v>
      </c>
      <c r="E70">
        <v>20</v>
      </c>
      <c r="F70">
        <v>7.3</v>
      </c>
      <c r="G70">
        <v>0</v>
      </c>
      <c r="H70">
        <v>6.1</v>
      </c>
      <c r="I70">
        <v>2.8</v>
      </c>
    </row>
    <row r="71" spans="1:9" x14ac:dyDescent="0.2">
      <c r="A71" s="5">
        <v>46159</v>
      </c>
      <c r="B71">
        <v>24</v>
      </c>
      <c r="C71">
        <v>1</v>
      </c>
      <c r="D71">
        <v>4</v>
      </c>
      <c r="E71">
        <v>80</v>
      </c>
      <c r="F71">
        <v>14</v>
      </c>
      <c r="G71">
        <v>5.5</v>
      </c>
      <c r="H71">
        <v>13.6</v>
      </c>
      <c r="I71">
        <v>9.1</v>
      </c>
    </row>
    <row r="72" spans="1:9" x14ac:dyDescent="0.2">
      <c r="A72" s="5">
        <v>46159</v>
      </c>
      <c r="B72">
        <v>24</v>
      </c>
      <c r="C72">
        <v>2</v>
      </c>
      <c r="D72">
        <v>3</v>
      </c>
      <c r="E72">
        <v>50</v>
      </c>
      <c r="F72">
        <v>10.199999999999999</v>
      </c>
      <c r="G72">
        <v>3.2</v>
      </c>
      <c r="H72">
        <v>2.4</v>
      </c>
      <c r="I72">
        <v>4.8</v>
      </c>
    </row>
    <row r="73" spans="1:9" x14ac:dyDescent="0.2">
      <c r="A73" s="5">
        <v>46159</v>
      </c>
      <c r="B73">
        <v>24</v>
      </c>
      <c r="C73">
        <v>3</v>
      </c>
      <c r="D73">
        <v>3</v>
      </c>
      <c r="E73">
        <v>40</v>
      </c>
      <c r="F73">
        <v>11.3</v>
      </c>
      <c r="G73">
        <v>7.9</v>
      </c>
      <c r="H73">
        <v>3.2</v>
      </c>
      <c r="I73">
        <v>4.5999999999999996</v>
      </c>
    </row>
    <row r="74" spans="1:9" x14ac:dyDescent="0.2">
      <c r="A74" s="5">
        <v>46160</v>
      </c>
      <c r="B74">
        <v>26</v>
      </c>
      <c r="C74">
        <v>1</v>
      </c>
      <c r="D74">
        <v>3</v>
      </c>
      <c r="E74">
        <v>80</v>
      </c>
      <c r="F74">
        <v>12.4</v>
      </c>
      <c r="G74">
        <v>2.8</v>
      </c>
      <c r="H74">
        <v>7.2</v>
      </c>
      <c r="I74">
        <v>0</v>
      </c>
    </row>
    <row r="75" spans="1:9" x14ac:dyDescent="0.2">
      <c r="A75" s="5">
        <v>46160</v>
      </c>
      <c r="B75">
        <v>26</v>
      </c>
      <c r="C75">
        <v>2</v>
      </c>
      <c r="D75">
        <v>2</v>
      </c>
      <c r="E75">
        <v>30</v>
      </c>
      <c r="F75">
        <v>14.1</v>
      </c>
      <c r="G75">
        <v>0</v>
      </c>
      <c r="H75">
        <v>10.5</v>
      </c>
      <c r="I75">
        <v>0</v>
      </c>
    </row>
    <row r="76" spans="1:9" x14ac:dyDescent="0.2">
      <c r="A76" s="5">
        <v>46160</v>
      </c>
      <c r="B76">
        <v>26</v>
      </c>
      <c r="C76">
        <v>3</v>
      </c>
      <c r="D76">
        <v>3</v>
      </c>
      <c r="E76">
        <v>100</v>
      </c>
      <c r="F76">
        <v>10.5</v>
      </c>
      <c r="G76">
        <v>5.8</v>
      </c>
      <c r="H76">
        <v>3.1</v>
      </c>
      <c r="I76">
        <v>4.0999999999999996</v>
      </c>
    </row>
    <row r="77" spans="1:9" x14ac:dyDescent="0.2">
      <c r="A77" s="5">
        <v>46160</v>
      </c>
      <c r="B77">
        <v>28</v>
      </c>
      <c r="C77">
        <v>1</v>
      </c>
      <c r="D77">
        <v>4</v>
      </c>
      <c r="E77">
        <v>60</v>
      </c>
      <c r="F77">
        <v>10.7</v>
      </c>
      <c r="G77">
        <v>3.1</v>
      </c>
      <c r="H77">
        <v>2.5</v>
      </c>
      <c r="I77">
        <v>6.6</v>
      </c>
    </row>
    <row r="78" spans="1:9" x14ac:dyDescent="0.2">
      <c r="A78" s="5">
        <v>46160</v>
      </c>
      <c r="B78">
        <v>28</v>
      </c>
      <c r="C78">
        <v>2</v>
      </c>
      <c r="D78">
        <v>2</v>
      </c>
      <c r="E78">
        <v>40</v>
      </c>
      <c r="F78">
        <v>8.4</v>
      </c>
      <c r="G78">
        <v>7.3</v>
      </c>
      <c r="H78">
        <v>0</v>
      </c>
      <c r="I78">
        <v>4.2</v>
      </c>
    </row>
    <row r="79" spans="1:9" x14ac:dyDescent="0.2">
      <c r="A79" s="5">
        <v>46160</v>
      </c>
      <c r="B79">
        <v>28</v>
      </c>
      <c r="C79">
        <v>3</v>
      </c>
      <c r="D79">
        <v>3</v>
      </c>
      <c r="E79">
        <v>40</v>
      </c>
      <c r="F79">
        <v>11.2</v>
      </c>
      <c r="G79">
        <v>4.2</v>
      </c>
      <c r="H79">
        <v>7.1</v>
      </c>
      <c r="I79">
        <v>0</v>
      </c>
    </row>
    <row r="80" spans="1:9" x14ac:dyDescent="0.2">
      <c r="A80" s="5">
        <v>46160</v>
      </c>
      <c r="B80">
        <v>30</v>
      </c>
      <c r="C80">
        <v>1</v>
      </c>
      <c r="D80">
        <v>3</v>
      </c>
      <c r="E80">
        <v>70</v>
      </c>
      <c r="F80">
        <v>9.4</v>
      </c>
      <c r="G80">
        <v>0</v>
      </c>
      <c r="H80">
        <v>6.1</v>
      </c>
      <c r="I80">
        <v>7.4</v>
      </c>
    </row>
    <row r="81" spans="1:9" x14ac:dyDescent="0.2">
      <c r="A81" s="5">
        <v>46160</v>
      </c>
      <c r="B81">
        <v>30</v>
      </c>
      <c r="C81">
        <v>2</v>
      </c>
      <c r="D81">
        <v>2</v>
      </c>
      <c r="E81">
        <v>30</v>
      </c>
      <c r="F81">
        <v>10.199999999999999</v>
      </c>
      <c r="G81">
        <v>5.2</v>
      </c>
      <c r="H81">
        <v>0</v>
      </c>
      <c r="I81">
        <v>2.2999999999999998</v>
      </c>
    </row>
    <row r="82" spans="1:9" x14ac:dyDescent="0.2">
      <c r="A82" s="5">
        <v>46160</v>
      </c>
      <c r="B82">
        <v>30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 s="5">
        <v>46160</v>
      </c>
      <c r="B83">
        <v>32</v>
      </c>
      <c r="C83">
        <v>1</v>
      </c>
      <c r="D83">
        <v>1</v>
      </c>
      <c r="E83">
        <v>10</v>
      </c>
      <c r="F83">
        <v>6.1</v>
      </c>
      <c r="G83">
        <v>0</v>
      </c>
      <c r="H83">
        <v>0</v>
      </c>
      <c r="I83">
        <v>0</v>
      </c>
    </row>
    <row r="84" spans="1:9" x14ac:dyDescent="0.2">
      <c r="A84" s="5">
        <v>46160</v>
      </c>
      <c r="B84">
        <v>32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 s="5">
        <v>46160</v>
      </c>
      <c r="B85">
        <v>32</v>
      </c>
      <c r="C85">
        <v>3</v>
      </c>
      <c r="D85">
        <v>3</v>
      </c>
      <c r="E85">
        <v>30</v>
      </c>
      <c r="F85">
        <v>6.2</v>
      </c>
      <c r="G85">
        <v>1.2</v>
      </c>
      <c r="H85">
        <v>0</v>
      </c>
      <c r="I85">
        <v>0</v>
      </c>
    </row>
    <row r="86" spans="1:9" x14ac:dyDescent="0.2">
      <c r="A86" s="5">
        <v>46160</v>
      </c>
      <c r="B86">
        <v>34</v>
      </c>
      <c r="C86">
        <v>1</v>
      </c>
      <c r="D86">
        <v>3</v>
      </c>
      <c r="E86">
        <v>70</v>
      </c>
      <c r="F86">
        <v>11.7</v>
      </c>
      <c r="G86">
        <v>7.2</v>
      </c>
      <c r="H86">
        <v>3.3</v>
      </c>
      <c r="I86">
        <v>3.8</v>
      </c>
    </row>
    <row r="87" spans="1:9" x14ac:dyDescent="0.2">
      <c r="A87" s="5">
        <v>46160</v>
      </c>
      <c r="B87">
        <v>34</v>
      </c>
      <c r="C87">
        <v>2</v>
      </c>
      <c r="D87">
        <v>3</v>
      </c>
      <c r="E87">
        <v>100</v>
      </c>
      <c r="F87">
        <v>12.9</v>
      </c>
      <c r="G87">
        <v>6.4</v>
      </c>
      <c r="H87">
        <v>3.6</v>
      </c>
      <c r="I87">
        <v>4.8</v>
      </c>
    </row>
    <row r="88" spans="1:9" x14ac:dyDescent="0.2">
      <c r="A88" s="5">
        <v>46160</v>
      </c>
      <c r="B88">
        <v>34</v>
      </c>
      <c r="C88">
        <v>3</v>
      </c>
      <c r="D88">
        <v>3</v>
      </c>
      <c r="E88">
        <v>20</v>
      </c>
      <c r="F88">
        <v>7.4</v>
      </c>
      <c r="G88">
        <v>0</v>
      </c>
      <c r="H88">
        <v>6.5</v>
      </c>
      <c r="I88">
        <v>6</v>
      </c>
    </row>
    <row r="89" spans="1:9" x14ac:dyDescent="0.2">
      <c r="A89" s="5">
        <v>46160</v>
      </c>
      <c r="B89">
        <v>36</v>
      </c>
      <c r="C89">
        <v>1</v>
      </c>
      <c r="D89">
        <v>4</v>
      </c>
      <c r="E89">
        <v>60</v>
      </c>
      <c r="F89">
        <v>12.7</v>
      </c>
      <c r="G89">
        <v>6.1</v>
      </c>
      <c r="H89">
        <v>0</v>
      </c>
      <c r="I89">
        <v>7.5</v>
      </c>
    </row>
    <row r="90" spans="1:9" x14ac:dyDescent="0.2">
      <c r="A90" s="5">
        <v>46160</v>
      </c>
      <c r="B90">
        <v>36</v>
      </c>
      <c r="C90">
        <v>2</v>
      </c>
      <c r="D90">
        <v>4</v>
      </c>
      <c r="E90">
        <v>90</v>
      </c>
      <c r="F90">
        <v>17.8</v>
      </c>
      <c r="G90">
        <v>7</v>
      </c>
      <c r="H90">
        <v>6.4</v>
      </c>
      <c r="I90">
        <v>15.5</v>
      </c>
    </row>
    <row r="91" spans="1:9" x14ac:dyDescent="0.2">
      <c r="A91" s="5">
        <v>46160</v>
      </c>
      <c r="B91">
        <v>36</v>
      </c>
      <c r="C91">
        <v>3</v>
      </c>
      <c r="D91">
        <v>4</v>
      </c>
      <c r="E91">
        <v>80</v>
      </c>
      <c r="F91">
        <v>17.600000000000001</v>
      </c>
      <c r="G91">
        <v>9.1</v>
      </c>
      <c r="H91">
        <v>5.5</v>
      </c>
      <c r="I91">
        <v>6.4</v>
      </c>
    </row>
    <row r="92" spans="1:9" x14ac:dyDescent="0.2">
      <c r="A92" s="5">
        <v>46160</v>
      </c>
      <c r="B92">
        <v>38</v>
      </c>
      <c r="C92">
        <v>1</v>
      </c>
      <c r="D92">
        <v>3</v>
      </c>
      <c r="E92">
        <v>30</v>
      </c>
      <c r="F92">
        <v>6.8</v>
      </c>
      <c r="G92">
        <v>0</v>
      </c>
      <c r="H92">
        <v>0</v>
      </c>
      <c r="I92">
        <v>4.5999999999999996</v>
      </c>
    </row>
    <row r="93" spans="1:9" x14ac:dyDescent="0.2">
      <c r="A93" s="5">
        <v>46160</v>
      </c>
      <c r="B93">
        <v>38</v>
      </c>
      <c r="C93">
        <v>2</v>
      </c>
      <c r="D93">
        <v>3</v>
      </c>
      <c r="E93">
        <v>50</v>
      </c>
      <c r="F93">
        <v>10.1</v>
      </c>
      <c r="G93">
        <v>4.0999999999999996</v>
      </c>
      <c r="H93">
        <v>0</v>
      </c>
      <c r="I93">
        <v>6.2</v>
      </c>
    </row>
    <row r="94" spans="1:9" x14ac:dyDescent="0.2">
      <c r="A94" s="5">
        <v>46160</v>
      </c>
      <c r="B94">
        <v>38</v>
      </c>
      <c r="C94">
        <v>3</v>
      </c>
      <c r="D94">
        <v>3</v>
      </c>
      <c r="E94">
        <v>40</v>
      </c>
      <c r="F94">
        <v>24.5</v>
      </c>
      <c r="G94">
        <v>8.1</v>
      </c>
      <c r="H94">
        <v>16.399999999999999</v>
      </c>
      <c r="I94">
        <v>14.9</v>
      </c>
    </row>
    <row r="95" spans="1:9" x14ac:dyDescent="0.2">
      <c r="A95" s="5">
        <v>46160</v>
      </c>
      <c r="B95">
        <v>40</v>
      </c>
      <c r="C95">
        <v>1</v>
      </c>
      <c r="D95">
        <v>2</v>
      </c>
      <c r="E95">
        <v>30</v>
      </c>
      <c r="F95">
        <v>9.5</v>
      </c>
      <c r="G95">
        <v>0</v>
      </c>
      <c r="H95">
        <v>1.5</v>
      </c>
      <c r="I95">
        <v>2.1</v>
      </c>
    </row>
    <row r="96" spans="1:9" x14ac:dyDescent="0.2">
      <c r="A96" s="5">
        <v>46160</v>
      </c>
      <c r="B96">
        <v>40</v>
      </c>
      <c r="C96">
        <v>2</v>
      </c>
      <c r="D96">
        <v>3</v>
      </c>
      <c r="E96">
        <v>40</v>
      </c>
      <c r="F96">
        <v>9.6</v>
      </c>
      <c r="G96">
        <v>2.4</v>
      </c>
      <c r="H96">
        <v>0</v>
      </c>
      <c r="I96">
        <v>6.2</v>
      </c>
    </row>
    <row r="97" spans="1:9" x14ac:dyDescent="0.2">
      <c r="A97" s="5">
        <v>46160</v>
      </c>
      <c r="B97">
        <v>40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5">
        <v>46160</v>
      </c>
      <c r="B98">
        <v>25</v>
      </c>
      <c r="C98">
        <v>1</v>
      </c>
      <c r="D98">
        <v>3</v>
      </c>
      <c r="E98">
        <v>60</v>
      </c>
      <c r="F98">
        <v>14</v>
      </c>
      <c r="G98">
        <v>5.6</v>
      </c>
      <c r="H98">
        <v>5.2</v>
      </c>
      <c r="I98">
        <v>7.2</v>
      </c>
    </row>
    <row r="99" spans="1:9" x14ac:dyDescent="0.2">
      <c r="A99" s="5">
        <v>46160</v>
      </c>
      <c r="B99">
        <v>25</v>
      </c>
      <c r="C99">
        <v>2</v>
      </c>
      <c r="D99">
        <v>2</v>
      </c>
      <c r="E99">
        <v>55</v>
      </c>
      <c r="F99">
        <v>12.7</v>
      </c>
      <c r="G99">
        <v>9.3000000000000007</v>
      </c>
      <c r="H99">
        <v>11.2</v>
      </c>
      <c r="I99">
        <v>11.4</v>
      </c>
    </row>
    <row r="100" spans="1:9" x14ac:dyDescent="0.2">
      <c r="A100" s="5">
        <v>46160</v>
      </c>
      <c r="B100">
        <v>25</v>
      </c>
      <c r="C100">
        <v>3</v>
      </c>
      <c r="D100">
        <v>4</v>
      </c>
      <c r="E100">
        <v>65</v>
      </c>
      <c r="F100">
        <v>12.2</v>
      </c>
      <c r="G100">
        <v>6.8</v>
      </c>
      <c r="H100">
        <v>7</v>
      </c>
      <c r="I100">
        <v>10.3</v>
      </c>
    </row>
    <row r="101" spans="1:9" x14ac:dyDescent="0.2">
      <c r="A101" s="5">
        <v>46160</v>
      </c>
      <c r="B101">
        <v>27</v>
      </c>
      <c r="C101">
        <v>1</v>
      </c>
      <c r="D101">
        <v>0</v>
      </c>
      <c r="E101">
        <v>30</v>
      </c>
      <c r="F101">
        <v>6.7</v>
      </c>
      <c r="G101">
        <v>2.2999999999999998</v>
      </c>
      <c r="H101">
        <v>0</v>
      </c>
      <c r="I101">
        <v>0</v>
      </c>
    </row>
    <row r="102" spans="1:9" x14ac:dyDescent="0.2">
      <c r="A102" s="5">
        <v>46160</v>
      </c>
      <c r="B102">
        <v>27</v>
      </c>
      <c r="C102">
        <v>2</v>
      </c>
      <c r="D102">
        <v>4</v>
      </c>
      <c r="E102">
        <v>75</v>
      </c>
      <c r="F102">
        <v>10.199999999999999</v>
      </c>
      <c r="G102">
        <v>5.6</v>
      </c>
      <c r="H102">
        <v>7.1</v>
      </c>
      <c r="I102">
        <v>4.5</v>
      </c>
    </row>
    <row r="103" spans="1:9" x14ac:dyDescent="0.2">
      <c r="A103" s="5">
        <v>46160</v>
      </c>
      <c r="B103">
        <v>27</v>
      </c>
      <c r="C103">
        <v>3</v>
      </c>
      <c r="D103">
        <v>4</v>
      </c>
      <c r="E103">
        <v>45</v>
      </c>
      <c r="F103">
        <v>12.2</v>
      </c>
      <c r="G103">
        <v>6.7</v>
      </c>
      <c r="H103">
        <v>7.4</v>
      </c>
      <c r="I103">
        <v>9.9</v>
      </c>
    </row>
    <row r="104" spans="1:9" x14ac:dyDescent="0.2">
      <c r="A104" s="5">
        <v>46160</v>
      </c>
      <c r="B104">
        <v>29</v>
      </c>
      <c r="C104">
        <v>1</v>
      </c>
      <c r="D104">
        <v>2</v>
      </c>
      <c r="E104">
        <v>50</v>
      </c>
      <c r="F104">
        <v>6.5</v>
      </c>
      <c r="G104">
        <v>5.9</v>
      </c>
      <c r="H104">
        <v>2.7</v>
      </c>
      <c r="I104">
        <v>0</v>
      </c>
    </row>
    <row r="105" spans="1:9" x14ac:dyDescent="0.2">
      <c r="A105" s="5">
        <v>46160</v>
      </c>
      <c r="B105">
        <v>29</v>
      </c>
      <c r="C105">
        <v>2</v>
      </c>
      <c r="D105">
        <v>3</v>
      </c>
      <c r="E105">
        <v>70</v>
      </c>
      <c r="F105">
        <v>11.6</v>
      </c>
      <c r="G105">
        <v>8.6</v>
      </c>
      <c r="H105">
        <v>6.4</v>
      </c>
      <c r="I105">
        <v>5.5</v>
      </c>
    </row>
    <row r="106" spans="1:9" x14ac:dyDescent="0.2">
      <c r="A106" s="5">
        <v>46160</v>
      </c>
      <c r="B106">
        <v>29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s="5">
        <v>46160</v>
      </c>
      <c r="B107">
        <v>31</v>
      </c>
      <c r="C107">
        <v>1</v>
      </c>
      <c r="D107">
        <v>8</v>
      </c>
      <c r="E107">
        <v>90</v>
      </c>
      <c r="F107">
        <v>15</v>
      </c>
      <c r="G107">
        <v>5.9</v>
      </c>
      <c r="H107">
        <v>5.4</v>
      </c>
      <c r="I107">
        <v>3.8</v>
      </c>
    </row>
    <row r="108" spans="1:9" x14ac:dyDescent="0.2">
      <c r="A108" s="5">
        <v>46160</v>
      </c>
      <c r="B108">
        <v>31</v>
      </c>
      <c r="C108">
        <v>2</v>
      </c>
      <c r="D108">
        <v>3</v>
      </c>
      <c r="E108">
        <v>100</v>
      </c>
      <c r="F108">
        <v>14.7</v>
      </c>
      <c r="G108">
        <v>6.2</v>
      </c>
      <c r="H108">
        <v>12.1</v>
      </c>
      <c r="I108">
        <v>10.9</v>
      </c>
    </row>
    <row r="109" spans="1:9" x14ac:dyDescent="0.2">
      <c r="A109" s="5">
        <v>46160</v>
      </c>
      <c r="B109">
        <v>31</v>
      </c>
      <c r="C109">
        <v>3</v>
      </c>
      <c r="D109">
        <v>7</v>
      </c>
      <c r="E109">
        <v>100</v>
      </c>
      <c r="F109">
        <v>16.100000000000001</v>
      </c>
      <c r="G109">
        <v>7.5</v>
      </c>
      <c r="H109">
        <v>9.1</v>
      </c>
      <c r="I109">
        <v>7.3</v>
      </c>
    </row>
    <row r="110" spans="1:9" x14ac:dyDescent="0.2">
      <c r="A110" s="5">
        <v>46160</v>
      </c>
      <c r="B110">
        <v>33</v>
      </c>
      <c r="C110">
        <v>1</v>
      </c>
      <c r="D110">
        <v>0</v>
      </c>
      <c r="E110">
        <v>10</v>
      </c>
      <c r="F110">
        <v>2.5</v>
      </c>
      <c r="G110">
        <v>1.4</v>
      </c>
      <c r="H110">
        <v>0</v>
      </c>
      <c r="I110">
        <v>0</v>
      </c>
    </row>
    <row r="111" spans="1:9" x14ac:dyDescent="0.2">
      <c r="A111" s="5">
        <v>46160</v>
      </c>
      <c r="B111">
        <v>33</v>
      </c>
      <c r="C111">
        <v>2</v>
      </c>
      <c r="D111">
        <v>4</v>
      </c>
      <c r="E111">
        <v>55</v>
      </c>
      <c r="F111">
        <v>9.1</v>
      </c>
      <c r="G111">
        <v>6.2</v>
      </c>
      <c r="H111">
        <v>8.5</v>
      </c>
      <c r="I111">
        <v>8.5</v>
      </c>
    </row>
    <row r="112" spans="1:9" x14ac:dyDescent="0.2">
      <c r="A112" s="5">
        <v>46160</v>
      </c>
      <c r="B112">
        <v>33</v>
      </c>
      <c r="C112">
        <v>3</v>
      </c>
      <c r="D112">
        <v>1</v>
      </c>
      <c r="E112">
        <v>40</v>
      </c>
      <c r="F112">
        <v>6.1</v>
      </c>
      <c r="G112">
        <v>3.9</v>
      </c>
      <c r="H112">
        <v>2.6</v>
      </c>
      <c r="I112">
        <v>4.9000000000000004</v>
      </c>
    </row>
    <row r="113" spans="1:9" x14ac:dyDescent="0.2">
      <c r="A113" s="5">
        <v>46160</v>
      </c>
      <c r="B113">
        <v>35</v>
      </c>
      <c r="C113">
        <v>1</v>
      </c>
      <c r="D113">
        <v>3</v>
      </c>
      <c r="E113">
        <v>70</v>
      </c>
      <c r="F113">
        <v>10.1</v>
      </c>
      <c r="G113">
        <v>0</v>
      </c>
      <c r="H113">
        <v>4.2</v>
      </c>
      <c r="I113">
        <v>2.5</v>
      </c>
    </row>
    <row r="114" spans="1:9" x14ac:dyDescent="0.2">
      <c r="A114" s="5">
        <v>46160</v>
      </c>
      <c r="B114">
        <v>35</v>
      </c>
      <c r="C114">
        <v>2</v>
      </c>
      <c r="D114">
        <v>1</v>
      </c>
      <c r="E114">
        <v>35</v>
      </c>
      <c r="F114">
        <v>5.4</v>
      </c>
      <c r="G114">
        <v>3.4</v>
      </c>
      <c r="H114">
        <v>5.2</v>
      </c>
      <c r="I114">
        <v>4.7</v>
      </c>
    </row>
    <row r="115" spans="1:9" x14ac:dyDescent="0.2">
      <c r="A115" s="5">
        <v>46160</v>
      </c>
      <c r="B115">
        <v>35</v>
      </c>
      <c r="C115">
        <v>3</v>
      </c>
      <c r="D115">
        <v>7</v>
      </c>
      <c r="E115">
        <v>100</v>
      </c>
      <c r="F115">
        <v>9.5</v>
      </c>
      <c r="G115">
        <v>2.5</v>
      </c>
      <c r="H115">
        <v>6.1</v>
      </c>
      <c r="I115">
        <v>6.9</v>
      </c>
    </row>
    <row r="116" spans="1:9" x14ac:dyDescent="0.2">
      <c r="A116" s="5">
        <v>46160</v>
      </c>
      <c r="B116">
        <v>37</v>
      </c>
      <c r="C116">
        <v>1</v>
      </c>
      <c r="D116">
        <v>2</v>
      </c>
      <c r="E116">
        <v>35</v>
      </c>
      <c r="F116">
        <v>8.4</v>
      </c>
      <c r="G116">
        <v>4.3</v>
      </c>
      <c r="H116">
        <v>5.2</v>
      </c>
      <c r="I116">
        <v>7</v>
      </c>
    </row>
    <row r="117" spans="1:9" x14ac:dyDescent="0.2">
      <c r="A117" s="5">
        <v>46160</v>
      </c>
      <c r="B117">
        <v>37</v>
      </c>
      <c r="C117">
        <v>2</v>
      </c>
      <c r="D117">
        <v>1</v>
      </c>
      <c r="E117">
        <v>20</v>
      </c>
      <c r="F117">
        <v>4</v>
      </c>
      <c r="G117">
        <v>0</v>
      </c>
      <c r="H117">
        <v>2</v>
      </c>
      <c r="I117">
        <v>0</v>
      </c>
    </row>
    <row r="118" spans="1:9" x14ac:dyDescent="0.2">
      <c r="A118" s="5">
        <v>46160</v>
      </c>
      <c r="B118">
        <v>37</v>
      </c>
      <c r="C118">
        <v>3</v>
      </c>
      <c r="D118">
        <v>0</v>
      </c>
      <c r="E118">
        <v>15</v>
      </c>
      <c r="F118">
        <v>3.4</v>
      </c>
      <c r="G118" t="s">
        <v>179</v>
      </c>
      <c r="H118" t="s">
        <v>179</v>
      </c>
      <c r="I118" t="s">
        <v>179</v>
      </c>
    </row>
    <row r="119" spans="1:9" x14ac:dyDescent="0.2">
      <c r="A119" s="5">
        <v>46160</v>
      </c>
      <c r="B119">
        <v>39</v>
      </c>
      <c r="C119">
        <v>1</v>
      </c>
      <c r="D119">
        <v>5</v>
      </c>
      <c r="E119">
        <v>100</v>
      </c>
      <c r="F119">
        <v>14.9</v>
      </c>
      <c r="G119">
        <v>7</v>
      </c>
      <c r="H119">
        <v>6.3</v>
      </c>
      <c r="I119">
        <v>7</v>
      </c>
    </row>
    <row r="120" spans="1:9" x14ac:dyDescent="0.2">
      <c r="A120" s="5">
        <v>46160</v>
      </c>
      <c r="B120">
        <v>39</v>
      </c>
      <c r="C120">
        <v>2</v>
      </c>
      <c r="D120">
        <v>1</v>
      </c>
      <c r="E120">
        <v>75</v>
      </c>
      <c r="F120">
        <v>16.2</v>
      </c>
      <c r="G120">
        <v>12</v>
      </c>
      <c r="H120">
        <v>10.1</v>
      </c>
      <c r="I120">
        <v>8.3000000000000007</v>
      </c>
    </row>
    <row r="121" spans="1:9" x14ac:dyDescent="0.2">
      <c r="A121" s="5">
        <v>46160</v>
      </c>
      <c r="B121">
        <v>39</v>
      </c>
      <c r="C121">
        <v>3</v>
      </c>
      <c r="D121">
        <v>4</v>
      </c>
      <c r="E121">
        <v>80</v>
      </c>
      <c r="F121">
        <v>8</v>
      </c>
      <c r="G121">
        <v>6.6</v>
      </c>
      <c r="H121">
        <v>6.5</v>
      </c>
      <c r="I121">
        <v>5.5</v>
      </c>
    </row>
    <row r="122" spans="1:9" x14ac:dyDescent="0.2">
      <c r="A122" s="5">
        <v>46160</v>
      </c>
      <c r="B122">
        <v>41</v>
      </c>
      <c r="C122">
        <v>1</v>
      </c>
      <c r="D122">
        <v>7</v>
      </c>
      <c r="E122">
        <v>85</v>
      </c>
      <c r="F122">
        <v>17.3</v>
      </c>
      <c r="G122">
        <v>14.2</v>
      </c>
      <c r="H122">
        <v>9.1</v>
      </c>
      <c r="I122">
        <v>11.6</v>
      </c>
    </row>
    <row r="123" spans="1:9" x14ac:dyDescent="0.2">
      <c r="A123" s="5">
        <v>46160</v>
      </c>
      <c r="B123">
        <v>41</v>
      </c>
      <c r="C123">
        <v>2</v>
      </c>
      <c r="D123">
        <v>2</v>
      </c>
      <c r="E123">
        <v>35</v>
      </c>
      <c r="F123">
        <v>11.2</v>
      </c>
      <c r="G123">
        <v>7.1</v>
      </c>
      <c r="H123">
        <v>8.4</v>
      </c>
      <c r="I123">
        <v>6</v>
      </c>
    </row>
    <row r="124" spans="1:9" x14ac:dyDescent="0.2">
      <c r="A124" s="5">
        <v>46160</v>
      </c>
      <c r="B124">
        <v>41</v>
      </c>
      <c r="C124">
        <v>3</v>
      </c>
      <c r="D124">
        <v>5</v>
      </c>
      <c r="E124">
        <v>50</v>
      </c>
      <c r="F124">
        <v>9.1999999999999993</v>
      </c>
      <c r="G124">
        <v>9</v>
      </c>
      <c r="H124">
        <v>8.1999999999999993</v>
      </c>
      <c r="I124">
        <v>5.7</v>
      </c>
    </row>
    <row r="125" spans="1:9" x14ac:dyDescent="0.2">
      <c r="A125" s="5">
        <v>46160</v>
      </c>
      <c r="B125">
        <v>42</v>
      </c>
      <c r="C125">
        <v>1</v>
      </c>
      <c r="D125">
        <v>4</v>
      </c>
      <c r="E125">
        <v>95</v>
      </c>
      <c r="F125">
        <v>14.2</v>
      </c>
      <c r="G125">
        <v>0</v>
      </c>
      <c r="H125">
        <v>6.1</v>
      </c>
      <c r="I125">
        <v>6.5</v>
      </c>
    </row>
    <row r="126" spans="1:9" x14ac:dyDescent="0.2">
      <c r="A126" s="5">
        <v>46160</v>
      </c>
      <c r="B126">
        <v>42</v>
      </c>
      <c r="C126">
        <v>2</v>
      </c>
      <c r="D126">
        <v>7</v>
      </c>
      <c r="E126">
        <v>55</v>
      </c>
      <c r="F126">
        <v>11.3</v>
      </c>
      <c r="G126">
        <v>7</v>
      </c>
      <c r="H126">
        <v>9.9</v>
      </c>
      <c r="I126">
        <v>0</v>
      </c>
    </row>
    <row r="127" spans="1:9" x14ac:dyDescent="0.2">
      <c r="A127" s="5">
        <v>46160</v>
      </c>
      <c r="B127">
        <v>42</v>
      </c>
      <c r="C127">
        <v>3</v>
      </c>
      <c r="D127">
        <v>4</v>
      </c>
      <c r="E127">
        <v>75</v>
      </c>
      <c r="F127">
        <v>8.1</v>
      </c>
      <c r="G127">
        <v>6.9</v>
      </c>
      <c r="H127">
        <v>7.1</v>
      </c>
      <c r="I127">
        <v>5.4</v>
      </c>
    </row>
    <row r="128" spans="1:9" x14ac:dyDescent="0.2">
      <c r="A128" s="5">
        <v>46160</v>
      </c>
      <c r="B128">
        <v>43</v>
      </c>
      <c r="C128">
        <v>1</v>
      </c>
      <c r="D128">
        <v>1</v>
      </c>
      <c r="E128">
        <v>10</v>
      </c>
      <c r="F128">
        <v>5.2</v>
      </c>
      <c r="G128">
        <v>1</v>
      </c>
      <c r="H128">
        <v>0</v>
      </c>
      <c r="I128">
        <v>0</v>
      </c>
    </row>
    <row r="129" spans="1:9" x14ac:dyDescent="0.2">
      <c r="A129" s="5">
        <v>46160</v>
      </c>
      <c r="B129">
        <v>43</v>
      </c>
      <c r="C129">
        <v>2</v>
      </c>
      <c r="D129">
        <v>5</v>
      </c>
      <c r="E129">
        <v>35</v>
      </c>
      <c r="F129">
        <v>12.2</v>
      </c>
      <c r="G129">
        <v>0</v>
      </c>
      <c r="H129">
        <v>6.3</v>
      </c>
      <c r="I129">
        <v>4.5999999999999996</v>
      </c>
    </row>
    <row r="130" spans="1:9" x14ac:dyDescent="0.2">
      <c r="A130" s="5">
        <v>46160</v>
      </c>
      <c r="B130">
        <v>43</v>
      </c>
      <c r="C130">
        <v>3</v>
      </c>
      <c r="D130">
        <v>2</v>
      </c>
      <c r="E130">
        <v>75</v>
      </c>
      <c r="F130">
        <v>10.1</v>
      </c>
      <c r="G130">
        <v>6.9</v>
      </c>
      <c r="H130">
        <v>8.1999999999999993</v>
      </c>
      <c r="I130">
        <v>2.7</v>
      </c>
    </row>
    <row r="131" spans="1:9" x14ac:dyDescent="0.2">
      <c r="A131" s="5">
        <v>46160</v>
      </c>
      <c r="B131">
        <v>44</v>
      </c>
      <c r="C131">
        <v>1</v>
      </c>
      <c r="D131">
        <v>2</v>
      </c>
      <c r="E131">
        <v>25</v>
      </c>
      <c r="F131">
        <v>9.1</v>
      </c>
      <c r="G131">
        <v>2.1</v>
      </c>
      <c r="H131">
        <v>0</v>
      </c>
      <c r="I131">
        <v>0</v>
      </c>
    </row>
    <row r="132" spans="1:9" x14ac:dyDescent="0.2">
      <c r="A132" s="5">
        <v>46160</v>
      </c>
      <c r="B132">
        <v>44</v>
      </c>
      <c r="C132">
        <v>2</v>
      </c>
      <c r="D132">
        <v>4</v>
      </c>
      <c r="E132">
        <v>80</v>
      </c>
      <c r="F132">
        <v>11.7</v>
      </c>
      <c r="G132">
        <v>2.9</v>
      </c>
      <c r="H132">
        <v>3.9</v>
      </c>
      <c r="I132">
        <v>6.1</v>
      </c>
    </row>
    <row r="133" spans="1:9" x14ac:dyDescent="0.2">
      <c r="A133" s="5">
        <v>46160</v>
      </c>
      <c r="B133">
        <v>44</v>
      </c>
      <c r="C133">
        <v>3</v>
      </c>
      <c r="D133">
        <v>3</v>
      </c>
      <c r="E133">
        <v>70</v>
      </c>
      <c r="F133">
        <v>12.1</v>
      </c>
      <c r="G133">
        <v>11</v>
      </c>
      <c r="H133">
        <v>5.9</v>
      </c>
      <c r="I133">
        <v>4.7</v>
      </c>
    </row>
    <row r="134" spans="1:9" x14ac:dyDescent="0.2">
      <c r="A134" s="5">
        <v>46160</v>
      </c>
      <c r="B134">
        <v>45</v>
      </c>
      <c r="C134">
        <v>1</v>
      </c>
      <c r="D134">
        <v>1</v>
      </c>
      <c r="E134">
        <v>25</v>
      </c>
      <c r="F134">
        <v>5.5</v>
      </c>
      <c r="G134">
        <v>3.1</v>
      </c>
      <c r="H134">
        <v>0</v>
      </c>
      <c r="I134">
        <v>0</v>
      </c>
    </row>
    <row r="135" spans="1:9" x14ac:dyDescent="0.2">
      <c r="A135" s="5">
        <v>46160</v>
      </c>
      <c r="B135">
        <v>45</v>
      </c>
      <c r="C135">
        <v>2</v>
      </c>
      <c r="D135">
        <v>1</v>
      </c>
      <c r="E135">
        <v>5</v>
      </c>
      <c r="F135">
        <v>2.2000000000000002</v>
      </c>
      <c r="G135">
        <v>0</v>
      </c>
      <c r="H135">
        <v>0</v>
      </c>
      <c r="I135">
        <v>0</v>
      </c>
    </row>
    <row r="136" spans="1:9" x14ac:dyDescent="0.2">
      <c r="A136" s="5">
        <v>46160</v>
      </c>
      <c r="B136">
        <v>45</v>
      </c>
      <c r="C136">
        <v>3</v>
      </c>
      <c r="D136">
        <v>5</v>
      </c>
      <c r="E136">
        <v>40</v>
      </c>
      <c r="F136">
        <v>11.8</v>
      </c>
      <c r="G136">
        <v>0</v>
      </c>
      <c r="H136">
        <v>3.2</v>
      </c>
      <c r="I136">
        <v>6.4</v>
      </c>
    </row>
    <row r="137" spans="1:9" x14ac:dyDescent="0.2">
      <c r="A137" s="5">
        <v>46160</v>
      </c>
      <c r="B137">
        <v>46</v>
      </c>
      <c r="C137">
        <v>1</v>
      </c>
      <c r="D137">
        <v>0</v>
      </c>
      <c r="E137">
        <v>10</v>
      </c>
      <c r="F137">
        <v>4.9000000000000004</v>
      </c>
      <c r="G137" t="s">
        <v>179</v>
      </c>
      <c r="H137" t="s">
        <v>179</v>
      </c>
      <c r="I137" t="s">
        <v>179</v>
      </c>
    </row>
    <row r="138" spans="1:9" x14ac:dyDescent="0.2">
      <c r="A138" s="5">
        <v>46160</v>
      </c>
      <c r="B138">
        <v>46</v>
      </c>
      <c r="C138">
        <v>2</v>
      </c>
      <c r="D138">
        <v>3</v>
      </c>
      <c r="E138">
        <v>30</v>
      </c>
      <c r="F138">
        <v>6.4</v>
      </c>
      <c r="G138">
        <v>0</v>
      </c>
      <c r="H138">
        <v>1.8</v>
      </c>
      <c r="I138">
        <v>0</v>
      </c>
    </row>
    <row r="139" spans="1:9" x14ac:dyDescent="0.2">
      <c r="A139" s="5">
        <v>46160</v>
      </c>
      <c r="B139">
        <v>46</v>
      </c>
      <c r="C139">
        <v>3</v>
      </c>
      <c r="D139">
        <v>2</v>
      </c>
      <c r="E139">
        <v>30</v>
      </c>
      <c r="F139">
        <v>9.1</v>
      </c>
      <c r="G139">
        <v>0</v>
      </c>
      <c r="H139">
        <v>6.2</v>
      </c>
      <c r="I139">
        <v>1.1000000000000001</v>
      </c>
    </row>
    <row r="140" spans="1:9" x14ac:dyDescent="0.2">
      <c r="A140" s="5">
        <v>46160</v>
      </c>
      <c r="B140">
        <v>47</v>
      </c>
      <c r="C140">
        <v>1</v>
      </c>
      <c r="D140">
        <v>6</v>
      </c>
      <c r="E140">
        <v>65</v>
      </c>
      <c r="F140">
        <v>9.4</v>
      </c>
      <c r="G140">
        <v>4.2</v>
      </c>
      <c r="H140">
        <v>6.2</v>
      </c>
      <c r="I140">
        <v>3.8</v>
      </c>
    </row>
    <row r="141" spans="1:9" x14ac:dyDescent="0.2">
      <c r="A141" s="5">
        <v>46160</v>
      </c>
      <c r="B141">
        <v>47</v>
      </c>
      <c r="C141">
        <v>2</v>
      </c>
      <c r="D141">
        <v>3</v>
      </c>
      <c r="E141">
        <v>25</v>
      </c>
      <c r="F141">
        <v>5.5</v>
      </c>
      <c r="G141">
        <v>3.8</v>
      </c>
      <c r="H141">
        <v>3.2</v>
      </c>
      <c r="I141">
        <v>3.6</v>
      </c>
    </row>
    <row r="142" spans="1:9" x14ac:dyDescent="0.2">
      <c r="A142" s="5">
        <v>46160</v>
      </c>
      <c r="B142">
        <v>47</v>
      </c>
      <c r="C142">
        <v>3</v>
      </c>
      <c r="D142">
        <v>1</v>
      </c>
      <c r="E142">
        <v>30</v>
      </c>
      <c r="F142">
        <v>6.2</v>
      </c>
      <c r="G142">
        <v>2.1</v>
      </c>
      <c r="H142">
        <v>4.2</v>
      </c>
      <c r="I142">
        <v>0</v>
      </c>
    </row>
    <row r="143" spans="1:9" x14ac:dyDescent="0.2">
      <c r="A143" s="5">
        <v>46160</v>
      </c>
      <c r="B143">
        <v>48</v>
      </c>
      <c r="C143">
        <v>1</v>
      </c>
      <c r="D143">
        <v>4</v>
      </c>
      <c r="E143">
        <v>80</v>
      </c>
      <c r="F143">
        <v>14.1</v>
      </c>
      <c r="G143">
        <v>3.6</v>
      </c>
      <c r="H143">
        <v>6.1</v>
      </c>
      <c r="I143">
        <v>0</v>
      </c>
    </row>
    <row r="144" spans="1:9" x14ac:dyDescent="0.2">
      <c r="A144" s="5">
        <v>46160</v>
      </c>
      <c r="B144">
        <v>48</v>
      </c>
      <c r="C144">
        <v>2</v>
      </c>
      <c r="D144">
        <v>3</v>
      </c>
      <c r="E144">
        <v>45</v>
      </c>
      <c r="F144">
        <v>7.1</v>
      </c>
      <c r="G144">
        <v>2.8</v>
      </c>
      <c r="H144">
        <v>3.2</v>
      </c>
      <c r="I144">
        <v>4.9000000000000004</v>
      </c>
    </row>
    <row r="145" spans="1:9" x14ac:dyDescent="0.2">
      <c r="A145" s="5">
        <v>46160</v>
      </c>
      <c r="B145">
        <v>48</v>
      </c>
      <c r="C145">
        <v>3</v>
      </c>
      <c r="D145">
        <v>3</v>
      </c>
      <c r="E145">
        <v>85</v>
      </c>
      <c r="F145">
        <v>8.1999999999999993</v>
      </c>
      <c r="G145">
        <v>6.4</v>
      </c>
      <c r="H145">
        <v>5.9</v>
      </c>
      <c r="I145">
        <v>5.9</v>
      </c>
    </row>
    <row r="146" spans="1:9" x14ac:dyDescent="0.2">
      <c r="A146" s="5">
        <v>46160</v>
      </c>
      <c r="B146">
        <v>49</v>
      </c>
      <c r="C146">
        <v>1</v>
      </c>
      <c r="D146">
        <v>6</v>
      </c>
      <c r="E146">
        <v>75</v>
      </c>
      <c r="F146">
        <v>10.199999999999999</v>
      </c>
      <c r="G146">
        <v>7.4</v>
      </c>
      <c r="H146">
        <v>4.5999999999999996</v>
      </c>
      <c r="I146">
        <v>0</v>
      </c>
    </row>
    <row r="147" spans="1:9" x14ac:dyDescent="0.2">
      <c r="A147" s="5">
        <v>46160</v>
      </c>
      <c r="B147">
        <v>49</v>
      </c>
      <c r="C147">
        <v>2</v>
      </c>
      <c r="D147">
        <v>3</v>
      </c>
      <c r="E147">
        <v>95</v>
      </c>
      <c r="F147">
        <v>9.3000000000000007</v>
      </c>
      <c r="G147">
        <v>6.4</v>
      </c>
      <c r="H147">
        <v>4.9000000000000004</v>
      </c>
      <c r="I147">
        <v>5.2</v>
      </c>
    </row>
    <row r="148" spans="1:9" x14ac:dyDescent="0.2">
      <c r="A148" s="5">
        <v>46160</v>
      </c>
      <c r="B148">
        <v>49</v>
      </c>
      <c r="C148">
        <v>3</v>
      </c>
      <c r="D148">
        <v>2</v>
      </c>
      <c r="E148">
        <v>20</v>
      </c>
      <c r="F148">
        <v>5.4</v>
      </c>
      <c r="G148">
        <v>4.2</v>
      </c>
      <c r="H148">
        <v>0</v>
      </c>
      <c r="I148">
        <v>0</v>
      </c>
    </row>
    <row r="149" spans="1:9" x14ac:dyDescent="0.2">
      <c r="A149" s="5">
        <v>46160</v>
      </c>
      <c r="B149">
        <v>50</v>
      </c>
      <c r="C149">
        <v>1</v>
      </c>
      <c r="D149">
        <v>4</v>
      </c>
      <c r="E149">
        <v>80</v>
      </c>
      <c r="F149">
        <v>9.1999999999999993</v>
      </c>
      <c r="G149">
        <v>5.5</v>
      </c>
      <c r="H149">
        <v>5.0999999999999996</v>
      </c>
      <c r="I149">
        <v>3.8</v>
      </c>
    </row>
    <row r="150" spans="1:9" x14ac:dyDescent="0.2">
      <c r="A150" s="5">
        <v>46160</v>
      </c>
      <c r="B150">
        <v>50</v>
      </c>
      <c r="C150">
        <v>2</v>
      </c>
      <c r="D150">
        <v>3</v>
      </c>
      <c r="E150">
        <v>70</v>
      </c>
      <c r="F150">
        <v>9.5</v>
      </c>
      <c r="G150">
        <v>2.2000000000000002</v>
      </c>
      <c r="H150">
        <v>6.1</v>
      </c>
      <c r="I150">
        <v>4.0999999999999996</v>
      </c>
    </row>
    <row r="151" spans="1:9" x14ac:dyDescent="0.2">
      <c r="A151" s="5">
        <v>46160</v>
      </c>
      <c r="B151">
        <v>50</v>
      </c>
      <c r="C151">
        <v>3</v>
      </c>
      <c r="D151">
        <v>3</v>
      </c>
      <c r="E151">
        <v>80</v>
      </c>
      <c r="F151">
        <v>6.4</v>
      </c>
      <c r="G151">
        <v>3.2</v>
      </c>
      <c r="H151">
        <v>4.4000000000000004</v>
      </c>
      <c r="I151">
        <v>5</v>
      </c>
    </row>
    <row r="152" spans="1:9" x14ac:dyDescent="0.2">
      <c r="A152" s="5">
        <v>46160</v>
      </c>
      <c r="B152">
        <v>51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s="5">
        <v>46160</v>
      </c>
      <c r="B153">
        <v>51</v>
      </c>
      <c r="C153">
        <v>2</v>
      </c>
      <c r="D153">
        <v>1</v>
      </c>
      <c r="E153">
        <v>20</v>
      </c>
      <c r="F153">
        <v>9.6</v>
      </c>
      <c r="G153">
        <v>0</v>
      </c>
      <c r="H153">
        <v>0</v>
      </c>
      <c r="I153">
        <v>7.4</v>
      </c>
    </row>
    <row r="154" spans="1:9" x14ac:dyDescent="0.2">
      <c r="A154" s="5">
        <v>46160</v>
      </c>
      <c r="B154">
        <v>51</v>
      </c>
      <c r="C154">
        <v>3</v>
      </c>
      <c r="D154">
        <v>1</v>
      </c>
      <c r="E154">
        <v>90</v>
      </c>
      <c r="F154">
        <v>11.2</v>
      </c>
      <c r="G154">
        <v>7.9</v>
      </c>
      <c r="H154">
        <v>6.5</v>
      </c>
      <c r="I154">
        <v>9.9</v>
      </c>
    </row>
    <row r="155" spans="1:9" x14ac:dyDescent="0.2">
      <c r="A155" s="5">
        <v>46160</v>
      </c>
      <c r="B155">
        <v>52</v>
      </c>
      <c r="C155">
        <v>1</v>
      </c>
      <c r="D155">
        <v>5</v>
      </c>
      <c r="E155">
        <v>90</v>
      </c>
      <c r="F155">
        <v>12.4</v>
      </c>
      <c r="G155">
        <v>9.1</v>
      </c>
      <c r="H155">
        <v>3.1</v>
      </c>
      <c r="I155">
        <v>2.1</v>
      </c>
    </row>
    <row r="156" spans="1:9" x14ac:dyDescent="0.2">
      <c r="A156" s="5">
        <v>46160</v>
      </c>
      <c r="B156">
        <v>52</v>
      </c>
      <c r="C156">
        <v>2</v>
      </c>
      <c r="D156">
        <v>5</v>
      </c>
      <c r="E156">
        <v>80</v>
      </c>
      <c r="F156">
        <v>9.4</v>
      </c>
      <c r="G156">
        <v>3.8</v>
      </c>
      <c r="H156">
        <v>2.6</v>
      </c>
      <c r="I156">
        <v>5.4</v>
      </c>
    </row>
    <row r="157" spans="1:9" x14ac:dyDescent="0.2">
      <c r="A157" s="5">
        <v>46160</v>
      </c>
      <c r="B157">
        <v>52</v>
      </c>
      <c r="C157">
        <v>3</v>
      </c>
      <c r="D157">
        <v>4</v>
      </c>
      <c r="E157">
        <v>100</v>
      </c>
      <c r="F157">
        <v>13.1</v>
      </c>
      <c r="G157">
        <v>9</v>
      </c>
      <c r="H157">
        <v>5.6</v>
      </c>
      <c r="I157">
        <v>5.8</v>
      </c>
    </row>
    <row r="158" spans="1:9" x14ac:dyDescent="0.2">
      <c r="A158" s="5">
        <v>46160</v>
      </c>
      <c r="B158">
        <v>53</v>
      </c>
      <c r="C158">
        <v>1</v>
      </c>
      <c r="D158">
        <v>0</v>
      </c>
      <c r="E158">
        <v>15</v>
      </c>
      <c r="F158">
        <v>5.9</v>
      </c>
      <c r="G158">
        <v>4.2</v>
      </c>
      <c r="H158">
        <v>3.8</v>
      </c>
      <c r="I158">
        <v>3.2</v>
      </c>
    </row>
    <row r="159" spans="1:9" x14ac:dyDescent="0.2">
      <c r="A159" s="5">
        <v>46160</v>
      </c>
      <c r="B159">
        <v>53</v>
      </c>
      <c r="C159">
        <v>2</v>
      </c>
      <c r="D159">
        <v>3</v>
      </c>
      <c r="E159">
        <v>20</v>
      </c>
      <c r="F159">
        <v>11.5</v>
      </c>
      <c r="G159">
        <v>2.6</v>
      </c>
      <c r="H159">
        <v>0</v>
      </c>
      <c r="I159">
        <v>5.4</v>
      </c>
    </row>
    <row r="160" spans="1:9" x14ac:dyDescent="0.2">
      <c r="A160" s="5">
        <v>46160</v>
      </c>
      <c r="B160">
        <v>53</v>
      </c>
      <c r="C160">
        <v>3</v>
      </c>
      <c r="D160">
        <v>4</v>
      </c>
      <c r="E160">
        <v>85</v>
      </c>
      <c r="F160">
        <v>9.3000000000000007</v>
      </c>
      <c r="G160">
        <v>3</v>
      </c>
      <c r="H160">
        <v>5.6</v>
      </c>
      <c r="I160">
        <v>6.2</v>
      </c>
    </row>
    <row r="161" spans="1:9" x14ac:dyDescent="0.2">
      <c r="A161" s="5">
        <v>46160</v>
      </c>
      <c r="B161">
        <v>54</v>
      </c>
      <c r="C161">
        <v>1</v>
      </c>
      <c r="D161">
        <v>0</v>
      </c>
      <c r="E161">
        <v>5</v>
      </c>
      <c r="F161">
        <v>1.5</v>
      </c>
      <c r="G161">
        <v>0</v>
      </c>
      <c r="H161">
        <v>0</v>
      </c>
      <c r="I161">
        <v>0</v>
      </c>
    </row>
    <row r="162" spans="1:9" x14ac:dyDescent="0.2">
      <c r="A162" s="5">
        <v>46160</v>
      </c>
      <c r="B162">
        <v>54</v>
      </c>
      <c r="C162">
        <v>2</v>
      </c>
      <c r="D162">
        <v>0</v>
      </c>
      <c r="E162">
        <v>15</v>
      </c>
      <c r="F162">
        <v>5.2</v>
      </c>
      <c r="G162" t="s">
        <v>179</v>
      </c>
      <c r="H162" t="s">
        <v>179</v>
      </c>
      <c r="I162" t="s">
        <v>179</v>
      </c>
    </row>
    <row r="163" spans="1:9" x14ac:dyDescent="0.2">
      <c r="A163" s="5">
        <v>46160</v>
      </c>
      <c r="B163">
        <v>54</v>
      </c>
      <c r="C163">
        <v>3</v>
      </c>
      <c r="D163">
        <v>1</v>
      </c>
      <c r="E163">
        <v>20</v>
      </c>
      <c r="F163">
        <v>6.6</v>
      </c>
      <c r="G163">
        <v>2.1</v>
      </c>
      <c r="H163">
        <v>0</v>
      </c>
      <c r="I163">
        <v>0</v>
      </c>
    </row>
    <row r="164" spans="1:9" x14ac:dyDescent="0.2">
      <c r="A164" s="5">
        <v>46160</v>
      </c>
      <c r="B164">
        <v>55</v>
      </c>
      <c r="C164">
        <v>1</v>
      </c>
      <c r="D164">
        <v>0</v>
      </c>
      <c r="E164">
        <v>15</v>
      </c>
      <c r="F164">
        <v>2.4</v>
      </c>
      <c r="G164">
        <v>0</v>
      </c>
      <c r="H164">
        <v>0</v>
      </c>
    </row>
    <row r="165" spans="1:9" x14ac:dyDescent="0.2">
      <c r="A165" s="5">
        <v>46160</v>
      </c>
      <c r="B165">
        <v>55</v>
      </c>
      <c r="C165">
        <v>2</v>
      </c>
      <c r="D165">
        <v>0</v>
      </c>
      <c r="E165">
        <v>10</v>
      </c>
      <c r="F165">
        <v>6.1</v>
      </c>
      <c r="G165" t="s">
        <v>179</v>
      </c>
      <c r="H165" t="s">
        <v>179</v>
      </c>
      <c r="I165" t="s">
        <v>179</v>
      </c>
    </row>
    <row r="166" spans="1:9" x14ac:dyDescent="0.2">
      <c r="A166" s="5">
        <v>46160</v>
      </c>
      <c r="B166">
        <v>55</v>
      </c>
      <c r="C166">
        <v>3</v>
      </c>
      <c r="D166">
        <v>2</v>
      </c>
      <c r="E166">
        <v>80</v>
      </c>
      <c r="F166">
        <v>7.5</v>
      </c>
      <c r="G166">
        <v>3.2</v>
      </c>
      <c r="H166">
        <v>2.9</v>
      </c>
      <c r="I166">
        <v>0</v>
      </c>
    </row>
    <row r="167" spans="1:9" x14ac:dyDescent="0.2">
      <c r="A167" s="5">
        <v>46160</v>
      </c>
      <c r="B167">
        <v>56</v>
      </c>
      <c r="C167">
        <v>1</v>
      </c>
      <c r="D167">
        <v>4</v>
      </c>
      <c r="E167">
        <v>100</v>
      </c>
      <c r="F167">
        <v>14.1</v>
      </c>
      <c r="G167">
        <v>7.8</v>
      </c>
      <c r="H167">
        <v>1.2</v>
      </c>
      <c r="I167">
        <v>12</v>
      </c>
    </row>
    <row r="168" spans="1:9" x14ac:dyDescent="0.2">
      <c r="A168" s="5">
        <v>46160</v>
      </c>
      <c r="B168">
        <v>56</v>
      </c>
      <c r="C168">
        <v>2</v>
      </c>
      <c r="D168">
        <v>6</v>
      </c>
      <c r="E168">
        <v>85</v>
      </c>
      <c r="F168">
        <v>13.6</v>
      </c>
      <c r="G168">
        <v>12.2</v>
      </c>
      <c r="H168">
        <v>10.1</v>
      </c>
      <c r="I168">
        <v>9.4</v>
      </c>
    </row>
    <row r="169" spans="1:9" x14ac:dyDescent="0.2">
      <c r="A169" s="5">
        <v>46160</v>
      </c>
      <c r="B169">
        <v>56</v>
      </c>
      <c r="C169">
        <v>3</v>
      </c>
      <c r="D169">
        <v>5</v>
      </c>
      <c r="E169">
        <v>90</v>
      </c>
      <c r="F169">
        <v>10.199999999999999</v>
      </c>
      <c r="G169">
        <v>9.1</v>
      </c>
      <c r="H169">
        <v>4</v>
      </c>
      <c r="I169">
        <v>5.3</v>
      </c>
    </row>
    <row r="170" spans="1:9" x14ac:dyDescent="0.2">
      <c r="A170" s="5">
        <v>46160</v>
      </c>
      <c r="B170">
        <v>57</v>
      </c>
      <c r="C170">
        <v>1</v>
      </c>
      <c r="D170">
        <v>1</v>
      </c>
      <c r="E170">
        <v>5</v>
      </c>
      <c r="F170">
        <v>6.9</v>
      </c>
      <c r="G170">
        <v>3.2</v>
      </c>
      <c r="H170">
        <v>2.1</v>
      </c>
      <c r="I170">
        <v>3.3</v>
      </c>
    </row>
    <row r="171" spans="1:9" x14ac:dyDescent="0.2">
      <c r="A171" s="5">
        <v>46160</v>
      </c>
      <c r="B171">
        <v>57</v>
      </c>
      <c r="C171">
        <v>2</v>
      </c>
      <c r="D171">
        <v>1</v>
      </c>
      <c r="E171">
        <v>15</v>
      </c>
      <c r="F171">
        <v>7</v>
      </c>
      <c r="G171">
        <v>0</v>
      </c>
      <c r="H171">
        <v>2.5</v>
      </c>
      <c r="I171">
        <v>0</v>
      </c>
    </row>
    <row r="172" spans="1:9" x14ac:dyDescent="0.2">
      <c r="A172" s="5">
        <v>46160</v>
      </c>
      <c r="B172">
        <v>57</v>
      </c>
      <c r="C172">
        <v>3</v>
      </c>
      <c r="D172">
        <v>3</v>
      </c>
      <c r="E172">
        <v>40</v>
      </c>
      <c r="F172">
        <v>8.5</v>
      </c>
      <c r="G172">
        <v>0</v>
      </c>
      <c r="H172">
        <v>6.3</v>
      </c>
      <c r="I172">
        <v>4.4000000000000004</v>
      </c>
    </row>
    <row r="173" spans="1:9" x14ac:dyDescent="0.2">
      <c r="A173" s="5">
        <v>46160</v>
      </c>
      <c r="B173">
        <v>58</v>
      </c>
      <c r="C173">
        <v>1</v>
      </c>
      <c r="D173">
        <v>1</v>
      </c>
      <c r="E173">
        <v>30</v>
      </c>
      <c r="F173">
        <v>8.1</v>
      </c>
      <c r="G173">
        <v>0</v>
      </c>
      <c r="H173">
        <v>3.5</v>
      </c>
      <c r="I173">
        <v>5.0999999999999996</v>
      </c>
    </row>
    <row r="174" spans="1:9" x14ac:dyDescent="0.2">
      <c r="A174" s="5">
        <v>46160</v>
      </c>
      <c r="B174">
        <v>58</v>
      </c>
      <c r="C174">
        <v>2</v>
      </c>
      <c r="D174">
        <v>2</v>
      </c>
      <c r="E174">
        <v>15</v>
      </c>
      <c r="F174">
        <v>6.4</v>
      </c>
      <c r="G174">
        <v>0</v>
      </c>
      <c r="H174">
        <v>0</v>
      </c>
      <c r="I174">
        <v>3.2</v>
      </c>
    </row>
    <row r="175" spans="1:9" x14ac:dyDescent="0.2">
      <c r="A175" s="5">
        <v>46160</v>
      </c>
      <c r="B175">
        <v>58</v>
      </c>
      <c r="C175">
        <v>3</v>
      </c>
      <c r="D175">
        <v>1</v>
      </c>
      <c r="E175">
        <v>30</v>
      </c>
      <c r="F175">
        <v>7.1</v>
      </c>
      <c r="G175">
        <v>4.2</v>
      </c>
      <c r="H175">
        <v>6.2</v>
      </c>
      <c r="I175">
        <v>1.2</v>
      </c>
    </row>
    <row r="176" spans="1:9" x14ac:dyDescent="0.2">
      <c r="A176" s="5">
        <v>46160</v>
      </c>
      <c r="B176">
        <v>59</v>
      </c>
      <c r="C176">
        <v>1</v>
      </c>
      <c r="D176">
        <v>1</v>
      </c>
      <c r="E176">
        <v>30</v>
      </c>
      <c r="F176">
        <v>4.4000000000000004</v>
      </c>
      <c r="G176">
        <v>3.2</v>
      </c>
      <c r="H176">
        <v>2.8</v>
      </c>
      <c r="I176">
        <v>1.9</v>
      </c>
    </row>
    <row r="177" spans="1:9" x14ac:dyDescent="0.2">
      <c r="A177" s="5">
        <v>46160</v>
      </c>
      <c r="B177">
        <v>59</v>
      </c>
      <c r="C177">
        <v>2</v>
      </c>
      <c r="D177">
        <v>3</v>
      </c>
      <c r="E177">
        <v>30</v>
      </c>
      <c r="F177">
        <v>4.9000000000000004</v>
      </c>
      <c r="G177">
        <v>3.2</v>
      </c>
      <c r="H177">
        <v>2.1</v>
      </c>
      <c r="I177">
        <v>3.1</v>
      </c>
    </row>
    <row r="178" spans="1:9" x14ac:dyDescent="0.2">
      <c r="A178" s="5">
        <v>46160</v>
      </c>
      <c r="B178">
        <v>59</v>
      </c>
      <c r="C178">
        <v>3</v>
      </c>
      <c r="D178">
        <v>3</v>
      </c>
      <c r="E178">
        <v>45</v>
      </c>
      <c r="F178">
        <v>11.9</v>
      </c>
      <c r="G178">
        <v>5.2</v>
      </c>
      <c r="H178">
        <v>4.0999999999999996</v>
      </c>
      <c r="I178">
        <v>3.7</v>
      </c>
    </row>
    <row r="179" spans="1:9" x14ac:dyDescent="0.2">
      <c r="A179" s="5">
        <v>46160</v>
      </c>
      <c r="B179">
        <v>60</v>
      </c>
      <c r="C179">
        <v>1</v>
      </c>
      <c r="D179">
        <v>4</v>
      </c>
      <c r="E179">
        <v>100</v>
      </c>
      <c r="F179">
        <v>9.1999999999999993</v>
      </c>
      <c r="G179">
        <v>4.3</v>
      </c>
      <c r="H179">
        <v>6.1</v>
      </c>
      <c r="I179">
        <v>5.8</v>
      </c>
    </row>
    <row r="180" spans="1:9" x14ac:dyDescent="0.2">
      <c r="A180" s="5">
        <v>46160</v>
      </c>
      <c r="B180">
        <v>60</v>
      </c>
      <c r="C180">
        <v>2</v>
      </c>
      <c r="D180">
        <v>5</v>
      </c>
      <c r="E180">
        <v>80</v>
      </c>
      <c r="F180">
        <v>12</v>
      </c>
      <c r="G180">
        <v>6.5</v>
      </c>
      <c r="H180">
        <v>7.2</v>
      </c>
      <c r="I180">
        <v>3.4</v>
      </c>
    </row>
    <row r="181" spans="1:9" x14ac:dyDescent="0.2">
      <c r="A181" s="5">
        <v>46160</v>
      </c>
      <c r="B181">
        <v>60</v>
      </c>
      <c r="C181">
        <v>3</v>
      </c>
      <c r="D181">
        <v>4</v>
      </c>
      <c r="E181">
        <v>90</v>
      </c>
      <c r="F181">
        <v>11.2</v>
      </c>
      <c r="G181">
        <v>8.4</v>
      </c>
      <c r="H181">
        <v>5.6</v>
      </c>
      <c r="I181">
        <v>5.9</v>
      </c>
    </row>
    <row r="182" spans="1:9" x14ac:dyDescent="0.2">
      <c r="A182" s="5">
        <v>46160</v>
      </c>
      <c r="B182">
        <v>61</v>
      </c>
      <c r="C182">
        <v>1</v>
      </c>
      <c r="D182">
        <v>5</v>
      </c>
      <c r="E182">
        <v>100</v>
      </c>
      <c r="F182">
        <v>13.4</v>
      </c>
      <c r="G182">
        <v>6.1</v>
      </c>
      <c r="H182">
        <v>8</v>
      </c>
      <c r="I182">
        <v>5.5</v>
      </c>
    </row>
    <row r="183" spans="1:9" x14ac:dyDescent="0.2">
      <c r="A183" s="5">
        <v>46160</v>
      </c>
      <c r="B183">
        <v>61</v>
      </c>
      <c r="C183">
        <v>2</v>
      </c>
      <c r="D183">
        <v>4</v>
      </c>
      <c r="E183">
        <v>90</v>
      </c>
      <c r="F183">
        <v>13.8</v>
      </c>
      <c r="G183">
        <v>11.2</v>
      </c>
      <c r="H183">
        <v>10.4</v>
      </c>
      <c r="I183">
        <v>5.2</v>
      </c>
    </row>
    <row r="184" spans="1:9" x14ac:dyDescent="0.2">
      <c r="A184" s="5">
        <v>46160</v>
      </c>
      <c r="B184">
        <v>61</v>
      </c>
      <c r="C184">
        <v>3</v>
      </c>
      <c r="D184">
        <v>3</v>
      </c>
      <c r="E184">
        <v>40</v>
      </c>
      <c r="F184">
        <v>11.2</v>
      </c>
      <c r="G184">
        <v>8.1999999999999993</v>
      </c>
      <c r="H184">
        <v>4.3</v>
      </c>
      <c r="I184">
        <v>4.0999999999999996</v>
      </c>
    </row>
    <row r="185" spans="1:9" x14ac:dyDescent="0.2">
      <c r="A185" s="5">
        <v>46160</v>
      </c>
      <c r="B185">
        <v>62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s="5">
        <v>46160</v>
      </c>
      <c r="B186">
        <v>62</v>
      </c>
      <c r="C186">
        <v>2</v>
      </c>
      <c r="D186">
        <v>2</v>
      </c>
      <c r="E186">
        <v>75</v>
      </c>
      <c r="F186">
        <v>8.4</v>
      </c>
      <c r="G186">
        <v>4.8</v>
      </c>
      <c r="H186">
        <v>3.6</v>
      </c>
      <c r="I186">
        <v>5.0999999999999996</v>
      </c>
    </row>
    <row r="187" spans="1:9" x14ac:dyDescent="0.2">
      <c r="A187" s="5">
        <v>46160</v>
      </c>
      <c r="B187">
        <v>62</v>
      </c>
      <c r="C187">
        <v>3</v>
      </c>
      <c r="D187">
        <v>1</v>
      </c>
      <c r="E187">
        <v>20</v>
      </c>
      <c r="F187">
        <v>9.1999999999999993</v>
      </c>
      <c r="G187">
        <v>7.6</v>
      </c>
      <c r="H187">
        <v>3.9</v>
      </c>
      <c r="I187">
        <v>8.3000000000000007</v>
      </c>
    </row>
    <row r="188" spans="1:9" x14ac:dyDescent="0.2">
      <c r="A188" s="5">
        <v>46160</v>
      </c>
      <c r="B188">
        <v>63</v>
      </c>
      <c r="C188">
        <v>1</v>
      </c>
      <c r="D188">
        <v>2</v>
      </c>
      <c r="E188">
        <v>30</v>
      </c>
      <c r="F188">
        <v>9.1</v>
      </c>
      <c r="G188">
        <v>8.1</v>
      </c>
      <c r="H188">
        <v>5.3</v>
      </c>
      <c r="I188">
        <v>3.1</v>
      </c>
    </row>
    <row r="189" spans="1:9" x14ac:dyDescent="0.2">
      <c r="A189" s="5">
        <v>46160</v>
      </c>
      <c r="B189">
        <v>63</v>
      </c>
      <c r="C189">
        <v>2</v>
      </c>
      <c r="D189">
        <v>7</v>
      </c>
      <c r="E189">
        <v>80</v>
      </c>
      <c r="F189">
        <v>8.1999999999999993</v>
      </c>
      <c r="G189">
        <v>4.8</v>
      </c>
      <c r="H189">
        <v>2.2000000000000002</v>
      </c>
      <c r="I189">
        <v>4.0999999999999996</v>
      </c>
    </row>
    <row r="190" spans="1:9" x14ac:dyDescent="0.2">
      <c r="A190" s="5">
        <v>46160</v>
      </c>
      <c r="B190">
        <v>63</v>
      </c>
      <c r="C190">
        <v>3</v>
      </c>
      <c r="D190">
        <v>4</v>
      </c>
      <c r="E190">
        <v>80</v>
      </c>
      <c r="F190">
        <v>7.6</v>
      </c>
      <c r="G190">
        <v>3.9</v>
      </c>
      <c r="H190">
        <v>4</v>
      </c>
      <c r="I190">
        <v>8.1999999999999993</v>
      </c>
    </row>
    <row r="191" spans="1:9" x14ac:dyDescent="0.2">
      <c r="A191" s="5">
        <v>46160</v>
      </c>
      <c r="B191">
        <v>64</v>
      </c>
      <c r="C191">
        <v>1</v>
      </c>
      <c r="D191">
        <v>4</v>
      </c>
      <c r="E191">
        <v>55</v>
      </c>
      <c r="F191">
        <v>9.6</v>
      </c>
      <c r="G191">
        <v>3.2</v>
      </c>
      <c r="H191">
        <v>3.6</v>
      </c>
      <c r="I191">
        <v>5.7</v>
      </c>
    </row>
    <row r="192" spans="1:9" x14ac:dyDescent="0.2">
      <c r="A192" s="5">
        <v>46160</v>
      </c>
      <c r="B192">
        <v>64</v>
      </c>
      <c r="C192">
        <v>2</v>
      </c>
      <c r="D192">
        <v>6</v>
      </c>
      <c r="E192">
        <v>90</v>
      </c>
      <c r="F192">
        <v>14.9</v>
      </c>
      <c r="G192">
        <v>2.1</v>
      </c>
      <c r="H192">
        <v>4.4000000000000004</v>
      </c>
      <c r="I192">
        <v>8.9</v>
      </c>
    </row>
    <row r="193" spans="1:9" x14ac:dyDescent="0.2">
      <c r="A193" s="5">
        <v>46160</v>
      </c>
      <c r="B193">
        <v>64</v>
      </c>
      <c r="C193">
        <v>3</v>
      </c>
      <c r="D193">
        <v>2</v>
      </c>
      <c r="E193">
        <v>15</v>
      </c>
      <c r="F193">
        <v>6.4</v>
      </c>
      <c r="G193">
        <v>5.8</v>
      </c>
      <c r="H193">
        <v>3.6</v>
      </c>
      <c r="I193" t="s">
        <v>179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B653-366F-5147-B054-18341A03F47D}">
  <dimension ref="A1:V65"/>
  <sheetViews>
    <sheetView zoomScale="130" zoomScaleNormal="130" workbookViewId="0">
      <pane ySplit="1" topLeftCell="A29" activePane="bottomLeft" state="frozen"/>
      <selection pane="bottomLeft" sqref="A1:C65"/>
    </sheetView>
  </sheetViews>
  <sheetFormatPr baseColWidth="10" defaultRowHeight="15" x14ac:dyDescent="0.2"/>
  <cols>
    <col min="1" max="1" width="12.33203125" customWidth="1"/>
    <col min="2" max="2" width="4.33203125" bestFit="1" customWidth="1"/>
    <col min="3" max="3" width="4.33203125" customWidth="1"/>
    <col min="4" max="4" width="15" bestFit="1" customWidth="1"/>
    <col min="5" max="5" width="16" bestFit="1" customWidth="1"/>
    <col min="6" max="14" width="17" bestFit="1" customWidth="1"/>
    <col min="15" max="15" width="18" bestFit="1" customWidth="1"/>
    <col min="16" max="16" width="9.6640625" bestFit="1" customWidth="1"/>
    <col min="17" max="21" width="15.83203125" bestFit="1" customWidth="1"/>
  </cols>
  <sheetData>
    <row r="1" spans="1:21" s="7" customFormat="1" x14ac:dyDescent="0.2">
      <c r="A1" s="7" t="s">
        <v>4</v>
      </c>
      <c r="B1" s="7" t="s">
        <v>3</v>
      </c>
      <c r="C1" s="7" t="s">
        <v>7</v>
      </c>
      <c r="D1" s="7" t="s">
        <v>113</v>
      </c>
      <c r="E1" s="7" t="s">
        <v>114</v>
      </c>
      <c r="F1" s="7" t="s">
        <v>115</v>
      </c>
      <c r="G1" s="7" t="s">
        <v>116</v>
      </c>
      <c r="H1" s="7" t="s">
        <v>117</v>
      </c>
      <c r="I1" s="7" t="s">
        <v>118</v>
      </c>
      <c r="J1" s="7" t="s">
        <v>119</v>
      </c>
      <c r="K1" s="7" t="s">
        <v>120</v>
      </c>
      <c r="L1" s="7" t="s">
        <v>121</v>
      </c>
      <c r="M1" s="7" t="s">
        <v>122</v>
      </c>
      <c r="N1" s="7" t="s">
        <v>123</v>
      </c>
      <c r="O1" s="7" t="s">
        <v>124</v>
      </c>
      <c r="P1" s="7" t="s">
        <v>125</v>
      </c>
      <c r="Q1" s="7" t="s">
        <v>127</v>
      </c>
      <c r="R1" s="7" t="s">
        <v>128</v>
      </c>
      <c r="S1" s="7" t="s">
        <v>129</v>
      </c>
      <c r="T1" s="7" t="s">
        <v>130</v>
      </c>
      <c r="U1" s="7" t="s">
        <v>131</v>
      </c>
    </row>
    <row r="2" spans="1:21" x14ac:dyDescent="0.2">
      <c r="A2" s="5">
        <v>46159</v>
      </c>
      <c r="B2">
        <v>1</v>
      </c>
      <c r="C2">
        <v>1</v>
      </c>
      <c r="D2">
        <v>4</v>
      </c>
      <c r="E2">
        <v>66</v>
      </c>
      <c r="F2">
        <v>7.2</v>
      </c>
      <c r="G2">
        <v>5.8</v>
      </c>
      <c r="H2">
        <v>3</v>
      </c>
      <c r="I2">
        <v>7.4</v>
      </c>
      <c r="P2">
        <v>0</v>
      </c>
    </row>
    <row r="3" spans="1:21" x14ac:dyDescent="0.2">
      <c r="A3" s="5">
        <v>46159</v>
      </c>
      <c r="B3">
        <v>2</v>
      </c>
      <c r="C3">
        <v>1</v>
      </c>
      <c r="D3">
        <v>5</v>
      </c>
      <c r="E3">
        <v>49</v>
      </c>
      <c r="F3">
        <v>2.7</v>
      </c>
      <c r="G3">
        <v>2.9</v>
      </c>
      <c r="H3">
        <v>9.3000000000000007</v>
      </c>
      <c r="I3">
        <v>8.9</v>
      </c>
      <c r="J3">
        <v>3.3</v>
      </c>
      <c r="P3">
        <v>2</v>
      </c>
      <c r="Q3">
        <v>23</v>
      </c>
      <c r="R3">
        <v>11</v>
      </c>
    </row>
    <row r="4" spans="1:21" x14ac:dyDescent="0.2">
      <c r="A4" s="5">
        <v>46159</v>
      </c>
      <c r="B4">
        <v>3</v>
      </c>
      <c r="C4">
        <v>1</v>
      </c>
      <c r="D4">
        <v>11</v>
      </c>
      <c r="E4">
        <v>39</v>
      </c>
      <c r="F4">
        <v>5.3</v>
      </c>
      <c r="G4">
        <v>3.1</v>
      </c>
      <c r="H4">
        <v>4.0999999999999996</v>
      </c>
      <c r="I4">
        <v>7.4</v>
      </c>
      <c r="J4">
        <v>7</v>
      </c>
      <c r="K4">
        <v>5.2</v>
      </c>
      <c r="L4">
        <v>2.7</v>
      </c>
      <c r="M4">
        <v>7.4</v>
      </c>
      <c r="P4">
        <v>3</v>
      </c>
      <c r="Q4">
        <v>3</v>
      </c>
      <c r="R4">
        <v>3</v>
      </c>
      <c r="S4">
        <v>4</v>
      </c>
    </row>
    <row r="5" spans="1:21" x14ac:dyDescent="0.2">
      <c r="A5" s="5">
        <v>46159</v>
      </c>
      <c r="B5">
        <v>4</v>
      </c>
      <c r="C5">
        <v>1</v>
      </c>
      <c r="D5">
        <v>1</v>
      </c>
      <c r="E5">
        <v>21</v>
      </c>
      <c r="F5">
        <v>6.1</v>
      </c>
      <c r="P5">
        <v>0</v>
      </c>
    </row>
    <row r="6" spans="1:21" x14ac:dyDescent="0.2">
      <c r="A6" s="5">
        <v>46159</v>
      </c>
      <c r="B6">
        <v>5</v>
      </c>
      <c r="C6">
        <v>1</v>
      </c>
      <c r="D6">
        <v>12</v>
      </c>
      <c r="E6">
        <v>51</v>
      </c>
      <c r="F6">
        <v>8.9</v>
      </c>
      <c r="G6">
        <v>5.7</v>
      </c>
      <c r="H6">
        <v>7.4</v>
      </c>
      <c r="I6">
        <v>6.5</v>
      </c>
      <c r="J6">
        <v>4.7</v>
      </c>
      <c r="K6">
        <v>4.7</v>
      </c>
      <c r="L6">
        <v>4.0999999999999996</v>
      </c>
      <c r="M6">
        <v>4.4000000000000004</v>
      </c>
      <c r="N6">
        <v>7.6</v>
      </c>
      <c r="O6">
        <v>5.5</v>
      </c>
      <c r="P6">
        <v>2</v>
      </c>
      <c r="Q6">
        <v>21</v>
      </c>
      <c r="R6">
        <v>14</v>
      </c>
    </row>
    <row r="7" spans="1:21" x14ac:dyDescent="0.2">
      <c r="A7" s="5">
        <v>46159</v>
      </c>
      <c r="B7">
        <v>6</v>
      </c>
      <c r="C7">
        <v>1</v>
      </c>
      <c r="D7">
        <v>18</v>
      </c>
      <c r="E7">
        <v>56</v>
      </c>
      <c r="F7">
        <v>5.2</v>
      </c>
      <c r="G7">
        <v>4</v>
      </c>
      <c r="H7">
        <v>2.8</v>
      </c>
      <c r="I7">
        <v>6.3</v>
      </c>
      <c r="J7">
        <v>4.5</v>
      </c>
      <c r="K7">
        <v>8.4</v>
      </c>
      <c r="L7">
        <v>6.6</v>
      </c>
      <c r="M7">
        <v>7.1</v>
      </c>
      <c r="N7">
        <v>2.8</v>
      </c>
      <c r="O7">
        <v>3.1</v>
      </c>
      <c r="P7">
        <v>1</v>
      </c>
      <c r="Q7">
        <v>10</v>
      </c>
    </row>
    <row r="8" spans="1:21" x14ac:dyDescent="0.2">
      <c r="A8" s="5">
        <v>46159</v>
      </c>
      <c r="B8">
        <v>7</v>
      </c>
      <c r="C8">
        <v>1</v>
      </c>
      <c r="D8">
        <v>14</v>
      </c>
      <c r="E8">
        <v>12</v>
      </c>
      <c r="F8">
        <v>5.8</v>
      </c>
      <c r="G8">
        <v>7.1</v>
      </c>
      <c r="H8">
        <v>4.5999999999999996</v>
      </c>
      <c r="I8">
        <v>6.9</v>
      </c>
      <c r="J8">
        <v>5.6</v>
      </c>
      <c r="K8">
        <v>8.9</v>
      </c>
      <c r="L8">
        <v>9.1999999999999993</v>
      </c>
      <c r="M8">
        <v>9.4</v>
      </c>
      <c r="N8">
        <v>10.199999999999999</v>
      </c>
      <c r="O8">
        <v>9.4</v>
      </c>
      <c r="P8">
        <v>0</v>
      </c>
    </row>
    <row r="9" spans="1:21" x14ac:dyDescent="0.2">
      <c r="A9" s="5">
        <v>46159</v>
      </c>
      <c r="B9">
        <v>8</v>
      </c>
      <c r="C9">
        <v>1</v>
      </c>
      <c r="D9">
        <v>15</v>
      </c>
      <c r="E9">
        <v>69</v>
      </c>
      <c r="F9">
        <v>3.1</v>
      </c>
      <c r="G9">
        <v>6.4</v>
      </c>
      <c r="H9">
        <v>6.2</v>
      </c>
      <c r="I9">
        <v>8.4</v>
      </c>
      <c r="J9">
        <v>6.2</v>
      </c>
      <c r="K9">
        <v>5.9</v>
      </c>
      <c r="L9">
        <v>4.5</v>
      </c>
      <c r="M9">
        <v>6.1</v>
      </c>
      <c r="N9">
        <v>4.5</v>
      </c>
      <c r="O9">
        <v>2.6</v>
      </c>
      <c r="P9">
        <v>3</v>
      </c>
      <c r="Q9">
        <v>12</v>
      </c>
      <c r="R9">
        <v>13</v>
      </c>
      <c r="S9">
        <v>10</v>
      </c>
    </row>
    <row r="10" spans="1:21" x14ac:dyDescent="0.2">
      <c r="A10" s="5">
        <v>46159</v>
      </c>
      <c r="B10">
        <v>9</v>
      </c>
      <c r="C10">
        <v>1</v>
      </c>
      <c r="D10">
        <v>1</v>
      </c>
      <c r="E10">
        <v>12</v>
      </c>
      <c r="F10">
        <v>10.5</v>
      </c>
      <c r="P10">
        <v>2</v>
      </c>
      <c r="Q10">
        <v>15</v>
      </c>
      <c r="R10">
        <v>12</v>
      </c>
    </row>
    <row r="11" spans="1:21" x14ac:dyDescent="0.2">
      <c r="A11" s="5">
        <v>46159</v>
      </c>
      <c r="B11">
        <v>10</v>
      </c>
      <c r="C11">
        <v>1</v>
      </c>
      <c r="D11">
        <v>20</v>
      </c>
      <c r="E11">
        <v>42</v>
      </c>
      <c r="F11">
        <v>10.6</v>
      </c>
      <c r="G11">
        <v>8.5</v>
      </c>
      <c r="H11">
        <v>6.6</v>
      </c>
      <c r="I11">
        <v>3.5</v>
      </c>
      <c r="J11">
        <v>2.7</v>
      </c>
      <c r="K11">
        <v>5.2</v>
      </c>
      <c r="L11">
        <v>3.9</v>
      </c>
      <c r="M11">
        <v>4.5</v>
      </c>
      <c r="N11">
        <v>6.1</v>
      </c>
      <c r="O11">
        <v>4.9000000000000004</v>
      </c>
      <c r="P11">
        <v>4</v>
      </c>
      <c r="Q11">
        <v>15</v>
      </c>
      <c r="R11">
        <v>8</v>
      </c>
      <c r="S11">
        <v>7</v>
      </c>
      <c r="T11">
        <v>4</v>
      </c>
    </row>
    <row r="12" spans="1:21" x14ac:dyDescent="0.2">
      <c r="A12" s="5">
        <v>46159</v>
      </c>
      <c r="B12">
        <v>11</v>
      </c>
      <c r="C12">
        <v>1</v>
      </c>
      <c r="D12">
        <v>17</v>
      </c>
      <c r="E12">
        <v>59</v>
      </c>
      <c r="F12">
        <v>9</v>
      </c>
      <c r="G12">
        <v>6.1</v>
      </c>
      <c r="H12">
        <v>7.5</v>
      </c>
      <c r="I12">
        <v>2.9</v>
      </c>
      <c r="J12">
        <v>5.4</v>
      </c>
      <c r="K12">
        <v>7.1</v>
      </c>
      <c r="L12">
        <v>3.2</v>
      </c>
      <c r="M12">
        <v>10.9</v>
      </c>
      <c r="N12">
        <v>3</v>
      </c>
      <c r="O12">
        <v>7.5</v>
      </c>
      <c r="P12">
        <v>20</v>
      </c>
      <c r="Q12">
        <v>8</v>
      </c>
      <c r="R12">
        <v>20</v>
      </c>
      <c r="S12">
        <v>11</v>
      </c>
      <c r="T12">
        <v>10</v>
      </c>
      <c r="U12">
        <v>6</v>
      </c>
    </row>
    <row r="13" spans="1:21" x14ac:dyDescent="0.2">
      <c r="A13" s="5">
        <v>46159</v>
      </c>
      <c r="B13">
        <v>12</v>
      </c>
      <c r="C13">
        <v>1</v>
      </c>
      <c r="D13">
        <v>5</v>
      </c>
      <c r="E13">
        <v>8</v>
      </c>
      <c r="F13">
        <v>5.3</v>
      </c>
      <c r="G13">
        <v>8.3000000000000007</v>
      </c>
      <c r="H13">
        <v>9.9</v>
      </c>
      <c r="I13">
        <v>4.0999999999999996</v>
      </c>
      <c r="J13">
        <v>4.9000000000000004</v>
      </c>
      <c r="P13">
        <v>0</v>
      </c>
    </row>
    <row r="14" spans="1:21" x14ac:dyDescent="0.2">
      <c r="A14" s="5">
        <v>46159</v>
      </c>
      <c r="B14">
        <v>13</v>
      </c>
      <c r="C14">
        <v>1</v>
      </c>
      <c r="D14">
        <v>1</v>
      </c>
      <c r="E14">
        <v>7</v>
      </c>
      <c r="F14">
        <v>10.3</v>
      </c>
      <c r="P14">
        <v>0</v>
      </c>
    </row>
    <row r="15" spans="1:21" x14ac:dyDescent="0.2">
      <c r="A15" s="5">
        <v>46159</v>
      </c>
      <c r="B15">
        <v>14</v>
      </c>
      <c r="C15">
        <v>1</v>
      </c>
      <c r="D15">
        <v>9</v>
      </c>
      <c r="E15">
        <v>39</v>
      </c>
      <c r="F15">
        <v>6</v>
      </c>
      <c r="G15">
        <v>2.6</v>
      </c>
      <c r="H15">
        <v>6.8</v>
      </c>
      <c r="I15">
        <v>4</v>
      </c>
      <c r="J15">
        <v>6.2</v>
      </c>
      <c r="K15">
        <v>6.6</v>
      </c>
      <c r="L15">
        <v>5.2</v>
      </c>
      <c r="M15">
        <v>7.4</v>
      </c>
      <c r="N15">
        <v>3.2</v>
      </c>
      <c r="O15">
        <v>0</v>
      </c>
    </row>
    <row r="16" spans="1:21" x14ac:dyDescent="0.2">
      <c r="A16" s="5">
        <v>46159</v>
      </c>
      <c r="B16">
        <v>15</v>
      </c>
      <c r="C16">
        <v>1</v>
      </c>
      <c r="D16">
        <v>8</v>
      </c>
      <c r="E16">
        <v>46</v>
      </c>
      <c r="F16">
        <v>7.2</v>
      </c>
      <c r="G16">
        <v>3.9</v>
      </c>
      <c r="H16">
        <v>7</v>
      </c>
      <c r="I16">
        <v>5.0999999999999996</v>
      </c>
      <c r="J16">
        <v>4</v>
      </c>
      <c r="K16">
        <v>4.0999999999999996</v>
      </c>
      <c r="L16">
        <v>5.2</v>
      </c>
      <c r="M16">
        <v>6.1</v>
      </c>
      <c r="P16">
        <v>1</v>
      </c>
      <c r="Q16">
        <v>12</v>
      </c>
    </row>
    <row r="17" spans="1:22" x14ac:dyDescent="0.2">
      <c r="A17" s="5">
        <v>46159</v>
      </c>
      <c r="B17">
        <v>16</v>
      </c>
      <c r="C17">
        <v>1</v>
      </c>
      <c r="D17">
        <v>4</v>
      </c>
      <c r="E17">
        <v>22</v>
      </c>
      <c r="F17">
        <v>5.8</v>
      </c>
      <c r="G17">
        <v>3.4</v>
      </c>
      <c r="H17">
        <v>3.7</v>
      </c>
      <c r="I17">
        <v>7.5</v>
      </c>
      <c r="O17">
        <v>0</v>
      </c>
    </row>
    <row r="18" spans="1:22" x14ac:dyDescent="0.2">
      <c r="A18" s="5">
        <v>46159</v>
      </c>
      <c r="B18">
        <v>17</v>
      </c>
      <c r="C18">
        <v>1</v>
      </c>
      <c r="D18">
        <v>8</v>
      </c>
      <c r="E18">
        <v>13</v>
      </c>
      <c r="F18">
        <v>6.6</v>
      </c>
      <c r="G18">
        <v>6</v>
      </c>
      <c r="H18">
        <v>8.4</v>
      </c>
      <c r="I18">
        <v>7.3</v>
      </c>
      <c r="J18">
        <v>6.6</v>
      </c>
      <c r="K18">
        <v>2.8</v>
      </c>
      <c r="L18">
        <v>3.5</v>
      </c>
      <c r="M18">
        <v>7.2</v>
      </c>
      <c r="O18">
        <v>0</v>
      </c>
    </row>
    <row r="19" spans="1:22" x14ac:dyDescent="0.2">
      <c r="A19" s="5">
        <v>46159</v>
      </c>
      <c r="B19">
        <v>18</v>
      </c>
      <c r="C19">
        <v>1</v>
      </c>
      <c r="D19">
        <v>21</v>
      </c>
      <c r="E19">
        <v>52</v>
      </c>
      <c r="F19">
        <v>3.2</v>
      </c>
      <c r="G19">
        <v>7.5</v>
      </c>
      <c r="H19">
        <v>7.2</v>
      </c>
      <c r="I19">
        <v>6.5</v>
      </c>
      <c r="J19">
        <v>12.5</v>
      </c>
      <c r="K19">
        <v>5.0999999999999996</v>
      </c>
      <c r="L19">
        <v>5.6</v>
      </c>
      <c r="M19">
        <v>6.1</v>
      </c>
      <c r="N19">
        <v>5.8</v>
      </c>
      <c r="O19">
        <v>5.8</v>
      </c>
      <c r="P19">
        <v>5</v>
      </c>
      <c r="Q19">
        <v>17</v>
      </c>
      <c r="R19">
        <v>2</v>
      </c>
      <c r="S19">
        <v>9</v>
      </c>
      <c r="T19">
        <v>7</v>
      </c>
      <c r="U19">
        <v>6</v>
      </c>
    </row>
    <row r="20" spans="1:22" x14ac:dyDescent="0.2">
      <c r="A20" s="5">
        <v>46159</v>
      </c>
      <c r="B20">
        <v>19</v>
      </c>
      <c r="C20">
        <v>1</v>
      </c>
      <c r="D20">
        <v>7</v>
      </c>
      <c r="E20">
        <v>11</v>
      </c>
      <c r="F20">
        <v>11.1</v>
      </c>
      <c r="G20">
        <v>6.2</v>
      </c>
      <c r="H20">
        <v>6.8</v>
      </c>
      <c r="I20">
        <v>7</v>
      </c>
      <c r="J20">
        <v>6.4</v>
      </c>
      <c r="K20">
        <v>5.0999999999999996</v>
      </c>
      <c r="L20">
        <v>6.2</v>
      </c>
      <c r="M20">
        <v>0</v>
      </c>
    </row>
    <row r="21" spans="1:22" x14ac:dyDescent="0.2">
      <c r="A21" s="5">
        <v>46159</v>
      </c>
      <c r="B21">
        <v>20</v>
      </c>
      <c r="C21">
        <v>1</v>
      </c>
      <c r="D21">
        <v>16</v>
      </c>
      <c r="E21">
        <v>38</v>
      </c>
      <c r="F21">
        <v>6.9</v>
      </c>
      <c r="G21">
        <v>4.0999999999999996</v>
      </c>
      <c r="H21">
        <v>10</v>
      </c>
      <c r="I21">
        <v>9.8000000000000007</v>
      </c>
      <c r="J21">
        <v>6.6</v>
      </c>
      <c r="K21">
        <v>7.2</v>
      </c>
      <c r="L21">
        <v>4.5999999999999996</v>
      </c>
      <c r="M21">
        <v>5.6</v>
      </c>
      <c r="N21">
        <v>4.9000000000000004</v>
      </c>
      <c r="O21">
        <v>6.6</v>
      </c>
      <c r="P21">
        <v>3</v>
      </c>
      <c r="Q21">
        <v>10</v>
      </c>
      <c r="R21">
        <v>6</v>
      </c>
      <c r="S21">
        <v>10</v>
      </c>
    </row>
    <row r="22" spans="1:22" x14ac:dyDescent="0.2">
      <c r="A22" s="5">
        <v>46159</v>
      </c>
      <c r="B22">
        <v>21</v>
      </c>
      <c r="C22">
        <v>1</v>
      </c>
      <c r="D22">
        <v>11</v>
      </c>
      <c r="E22">
        <v>37</v>
      </c>
      <c r="F22">
        <v>5.0999999999999996</v>
      </c>
      <c r="G22">
        <v>4.2</v>
      </c>
      <c r="H22">
        <v>4.5999999999999996</v>
      </c>
      <c r="I22">
        <v>5.2</v>
      </c>
      <c r="J22">
        <v>6.2</v>
      </c>
      <c r="K22">
        <v>8.1999999999999993</v>
      </c>
      <c r="L22">
        <v>5.5</v>
      </c>
      <c r="M22">
        <v>9.3000000000000007</v>
      </c>
      <c r="N22">
        <v>6.9</v>
      </c>
      <c r="O22">
        <v>8.4</v>
      </c>
      <c r="P22">
        <v>2</v>
      </c>
      <c r="Q22">
        <v>9</v>
      </c>
      <c r="R22">
        <v>6</v>
      </c>
    </row>
    <row r="23" spans="1:22" x14ac:dyDescent="0.2">
      <c r="A23" s="5">
        <v>46159</v>
      </c>
      <c r="B23">
        <v>22</v>
      </c>
      <c r="C23">
        <v>1</v>
      </c>
      <c r="D23">
        <v>1</v>
      </c>
      <c r="E23">
        <v>5</v>
      </c>
      <c r="F23">
        <v>7.4</v>
      </c>
      <c r="P23">
        <v>0</v>
      </c>
    </row>
    <row r="24" spans="1:22" x14ac:dyDescent="0.2">
      <c r="A24" s="5">
        <v>46159</v>
      </c>
      <c r="B24">
        <v>23</v>
      </c>
      <c r="C24">
        <v>1</v>
      </c>
      <c r="D24">
        <v>17</v>
      </c>
      <c r="E24">
        <v>52</v>
      </c>
      <c r="F24">
        <v>7.5</v>
      </c>
      <c r="G24">
        <v>3.3</v>
      </c>
      <c r="H24">
        <v>8.1999999999999993</v>
      </c>
      <c r="I24">
        <v>10.9</v>
      </c>
      <c r="J24">
        <v>6.1</v>
      </c>
      <c r="K24">
        <v>7.7</v>
      </c>
      <c r="L24">
        <v>6.2</v>
      </c>
      <c r="M24">
        <v>8.5</v>
      </c>
      <c r="N24">
        <v>9.1</v>
      </c>
      <c r="O24">
        <v>8.6</v>
      </c>
      <c r="P24">
        <v>3</v>
      </c>
      <c r="Q24">
        <v>12</v>
      </c>
      <c r="R24">
        <v>20</v>
      </c>
      <c r="S24">
        <v>13</v>
      </c>
    </row>
    <row r="25" spans="1:22" x14ac:dyDescent="0.2">
      <c r="A25" s="5">
        <v>46159</v>
      </c>
      <c r="B25">
        <v>24</v>
      </c>
      <c r="C25">
        <v>1</v>
      </c>
      <c r="D25">
        <v>12</v>
      </c>
      <c r="E25">
        <v>52</v>
      </c>
      <c r="F25">
        <v>5.3</v>
      </c>
      <c r="G25">
        <v>5.4</v>
      </c>
      <c r="H25">
        <v>9.1</v>
      </c>
      <c r="I25">
        <v>5.0999999999999996</v>
      </c>
      <c r="J25">
        <v>6.5</v>
      </c>
      <c r="K25">
        <v>4.4000000000000004</v>
      </c>
      <c r="L25">
        <v>7.7</v>
      </c>
      <c r="M25">
        <v>7.9</v>
      </c>
      <c r="N25">
        <v>8.9</v>
      </c>
      <c r="O25">
        <v>7.2</v>
      </c>
      <c r="P25">
        <v>5</v>
      </c>
      <c r="Q25">
        <v>2</v>
      </c>
      <c r="R25">
        <v>1</v>
      </c>
      <c r="S25">
        <v>1</v>
      </c>
      <c r="T25">
        <v>2</v>
      </c>
      <c r="U25">
        <v>3</v>
      </c>
    </row>
    <row r="26" spans="1:22" x14ac:dyDescent="0.2">
      <c r="A26" s="5">
        <v>46160</v>
      </c>
      <c r="B26">
        <v>26</v>
      </c>
      <c r="C26">
        <v>1</v>
      </c>
      <c r="D26">
        <v>14</v>
      </c>
      <c r="E26">
        <v>45</v>
      </c>
      <c r="F26">
        <v>7.5</v>
      </c>
      <c r="G26">
        <v>4.4000000000000004</v>
      </c>
      <c r="H26">
        <v>3.3</v>
      </c>
      <c r="I26">
        <v>3.6</v>
      </c>
      <c r="J26">
        <v>6.4</v>
      </c>
      <c r="K26">
        <v>3.6</v>
      </c>
      <c r="L26">
        <v>10.9</v>
      </c>
      <c r="M26">
        <v>7.6</v>
      </c>
      <c r="N26">
        <v>5.6</v>
      </c>
      <c r="O26">
        <v>6</v>
      </c>
      <c r="P26">
        <v>5</v>
      </c>
      <c r="Q26">
        <v>14</v>
      </c>
      <c r="R26">
        <v>10</v>
      </c>
      <c r="S26">
        <v>16</v>
      </c>
      <c r="T26">
        <v>14</v>
      </c>
      <c r="U26">
        <v>13</v>
      </c>
    </row>
    <row r="27" spans="1:22" x14ac:dyDescent="0.2">
      <c r="A27" s="5">
        <v>46160</v>
      </c>
      <c r="B27">
        <v>28</v>
      </c>
      <c r="C27">
        <v>1</v>
      </c>
      <c r="D27">
        <v>7</v>
      </c>
      <c r="E27">
        <v>53</v>
      </c>
      <c r="F27">
        <v>9.1999999999999993</v>
      </c>
      <c r="G27">
        <v>6.9</v>
      </c>
      <c r="H27">
        <v>6</v>
      </c>
      <c r="I27">
        <v>7.7</v>
      </c>
      <c r="J27">
        <v>4.5999999999999996</v>
      </c>
      <c r="K27">
        <v>5</v>
      </c>
      <c r="L27">
        <v>3.2</v>
      </c>
      <c r="P27">
        <v>2</v>
      </c>
      <c r="Q27">
        <v>16</v>
      </c>
      <c r="R27">
        <v>6</v>
      </c>
    </row>
    <row r="28" spans="1:22" x14ac:dyDescent="0.2">
      <c r="A28" s="5">
        <v>46160</v>
      </c>
      <c r="B28">
        <v>30</v>
      </c>
      <c r="C28">
        <v>1</v>
      </c>
      <c r="D28">
        <v>17</v>
      </c>
      <c r="E28">
        <v>35</v>
      </c>
      <c r="F28">
        <v>5.0999999999999996</v>
      </c>
      <c r="G28">
        <v>11</v>
      </c>
      <c r="H28">
        <v>3.2</v>
      </c>
      <c r="I28">
        <v>7.3</v>
      </c>
      <c r="J28">
        <v>4.0999999999999996</v>
      </c>
      <c r="K28">
        <v>8.1999999999999993</v>
      </c>
      <c r="L28">
        <v>5.8</v>
      </c>
      <c r="M28">
        <v>5.9</v>
      </c>
      <c r="N28">
        <v>6.2</v>
      </c>
      <c r="O28">
        <v>7.4</v>
      </c>
      <c r="P28">
        <v>5</v>
      </c>
      <c r="Q28">
        <v>21</v>
      </c>
      <c r="R28">
        <v>18</v>
      </c>
      <c r="S28">
        <v>13</v>
      </c>
      <c r="T28">
        <v>13</v>
      </c>
      <c r="U28">
        <v>1</v>
      </c>
    </row>
    <row r="29" spans="1:22" x14ac:dyDescent="0.2">
      <c r="A29" s="5">
        <v>46160</v>
      </c>
      <c r="B29">
        <v>32</v>
      </c>
      <c r="C29">
        <v>1</v>
      </c>
      <c r="D29">
        <v>9</v>
      </c>
      <c r="E29">
        <v>15</v>
      </c>
      <c r="F29">
        <v>4.2</v>
      </c>
      <c r="G29">
        <v>5.0999999999999996</v>
      </c>
      <c r="H29">
        <v>4.3</v>
      </c>
      <c r="I29">
        <v>3.2</v>
      </c>
      <c r="J29">
        <v>2.9</v>
      </c>
      <c r="K29">
        <v>3.4</v>
      </c>
      <c r="L29">
        <v>5.7</v>
      </c>
      <c r="M29">
        <v>5.6</v>
      </c>
      <c r="N29">
        <v>7.5</v>
      </c>
      <c r="P29">
        <v>6</v>
      </c>
      <c r="Q29">
        <v>6</v>
      </c>
      <c r="R29">
        <v>8</v>
      </c>
      <c r="S29">
        <v>11</v>
      </c>
      <c r="T29">
        <v>5</v>
      </c>
      <c r="U29">
        <v>8</v>
      </c>
    </row>
    <row r="30" spans="1:22" x14ac:dyDescent="0.2">
      <c r="A30" s="5">
        <v>46160</v>
      </c>
      <c r="B30">
        <v>34</v>
      </c>
      <c r="C30">
        <v>1</v>
      </c>
      <c r="D30">
        <v>13</v>
      </c>
      <c r="E30">
        <v>35</v>
      </c>
      <c r="F30">
        <v>5.0999999999999996</v>
      </c>
      <c r="G30">
        <v>4.5999999999999996</v>
      </c>
      <c r="H30">
        <v>8.1999999999999993</v>
      </c>
      <c r="I30">
        <v>5.0999999999999996</v>
      </c>
      <c r="J30">
        <v>9.4</v>
      </c>
      <c r="K30">
        <v>5.9</v>
      </c>
      <c r="L30">
        <v>7.5</v>
      </c>
      <c r="M30">
        <v>4.5</v>
      </c>
      <c r="N30">
        <v>7.1</v>
      </c>
      <c r="O30">
        <v>5.6</v>
      </c>
      <c r="P30">
        <v>3</v>
      </c>
      <c r="Q30">
        <v>12</v>
      </c>
      <c r="R30">
        <v>7</v>
      </c>
      <c r="S30">
        <v>17</v>
      </c>
      <c r="T30">
        <v>8</v>
      </c>
      <c r="U30">
        <v>14</v>
      </c>
    </row>
    <row r="31" spans="1:22" x14ac:dyDescent="0.2">
      <c r="A31" s="5">
        <v>46160</v>
      </c>
      <c r="B31">
        <v>36</v>
      </c>
      <c r="C31">
        <v>1</v>
      </c>
      <c r="D31">
        <v>20</v>
      </c>
      <c r="E31">
        <v>44</v>
      </c>
      <c r="F31">
        <v>5.3</v>
      </c>
      <c r="G31">
        <v>7.5</v>
      </c>
      <c r="H31">
        <v>4.8</v>
      </c>
      <c r="I31">
        <v>7.1</v>
      </c>
      <c r="J31">
        <v>10.3</v>
      </c>
      <c r="K31">
        <v>3.2</v>
      </c>
      <c r="L31">
        <v>4.0999999999999996</v>
      </c>
      <c r="M31">
        <v>9.9</v>
      </c>
      <c r="N31">
        <v>5.8</v>
      </c>
      <c r="O31">
        <v>6.3</v>
      </c>
      <c r="Q31">
        <v>17</v>
      </c>
      <c r="R31">
        <v>11</v>
      </c>
      <c r="S31">
        <v>9</v>
      </c>
      <c r="T31">
        <v>19</v>
      </c>
      <c r="U31">
        <v>11</v>
      </c>
      <c r="V31">
        <v>17</v>
      </c>
    </row>
    <row r="32" spans="1:22" x14ac:dyDescent="0.2">
      <c r="A32" s="5">
        <v>46160</v>
      </c>
      <c r="B32">
        <v>38</v>
      </c>
      <c r="C32">
        <v>1</v>
      </c>
      <c r="D32">
        <v>12</v>
      </c>
      <c r="E32">
        <v>25</v>
      </c>
      <c r="F32">
        <v>7.1</v>
      </c>
      <c r="G32">
        <v>7.2</v>
      </c>
      <c r="H32">
        <v>5</v>
      </c>
      <c r="I32">
        <v>3.3</v>
      </c>
      <c r="J32">
        <v>8.6999999999999993</v>
      </c>
      <c r="K32">
        <v>6</v>
      </c>
      <c r="L32">
        <v>5</v>
      </c>
      <c r="M32">
        <v>8.9</v>
      </c>
      <c r="N32">
        <v>7.6</v>
      </c>
      <c r="O32">
        <v>5.6</v>
      </c>
      <c r="P32">
        <v>1</v>
      </c>
      <c r="Q32">
        <v>7</v>
      </c>
    </row>
    <row r="33" spans="1:21" x14ac:dyDescent="0.2">
      <c r="A33" s="5">
        <v>46160</v>
      </c>
      <c r="B33">
        <v>40</v>
      </c>
      <c r="C33">
        <v>1</v>
      </c>
      <c r="D33">
        <v>10</v>
      </c>
      <c r="E33">
        <v>28</v>
      </c>
      <c r="F33">
        <v>5.7</v>
      </c>
      <c r="G33">
        <v>4.4000000000000004</v>
      </c>
      <c r="H33">
        <v>6.7</v>
      </c>
      <c r="I33">
        <v>6.2</v>
      </c>
      <c r="J33">
        <v>5.0999999999999996</v>
      </c>
      <c r="K33">
        <v>5.9</v>
      </c>
      <c r="L33">
        <v>5.2</v>
      </c>
      <c r="M33">
        <v>6.2</v>
      </c>
      <c r="N33">
        <v>7.8</v>
      </c>
      <c r="O33">
        <v>9.1</v>
      </c>
      <c r="P33">
        <v>2</v>
      </c>
      <c r="Q33">
        <v>9</v>
      </c>
      <c r="R33">
        <v>12</v>
      </c>
    </row>
    <row r="34" spans="1:21" x14ac:dyDescent="0.2">
      <c r="A34" s="5">
        <v>46160</v>
      </c>
      <c r="B34">
        <v>42</v>
      </c>
      <c r="C34">
        <v>1</v>
      </c>
      <c r="D34">
        <v>14</v>
      </c>
      <c r="E34">
        <v>32</v>
      </c>
      <c r="F34">
        <v>7.5</v>
      </c>
      <c r="G34">
        <v>5.0999999999999996</v>
      </c>
      <c r="H34">
        <v>2.7</v>
      </c>
      <c r="I34">
        <v>8.6</v>
      </c>
      <c r="J34">
        <v>8.1999999999999993</v>
      </c>
      <c r="K34">
        <v>5</v>
      </c>
      <c r="L34">
        <v>7.4</v>
      </c>
      <c r="M34">
        <v>3.2</v>
      </c>
      <c r="N34">
        <v>3</v>
      </c>
      <c r="O34">
        <v>4.4000000000000004</v>
      </c>
      <c r="P34">
        <v>1</v>
      </c>
      <c r="Q34">
        <v>16</v>
      </c>
    </row>
    <row r="35" spans="1:21" x14ac:dyDescent="0.2">
      <c r="A35" s="5">
        <v>46160</v>
      </c>
      <c r="B35">
        <v>43</v>
      </c>
      <c r="C35">
        <v>2</v>
      </c>
      <c r="D35">
        <v>24</v>
      </c>
      <c r="E35">
        <v>56</v>
      </c>
      <c r="F35">
        <v>4.2</v>
      </c>
      <c r="G35">
        <v>6</v>
      </c>
      <c r="H35">
        <v>8.4</v>
      </c>
      <c r="I35">
        <v>5.0999999999999996</v>
      </c>
      <c r="J35">
        <v>3.9</v>
      </c>
      <c r="K35">
        <v>3.8</v>
      </c>
      <c r="L35">
        <v>6.1</v>
      </c>
      <c r="M35">
        <v>5.4</v>
      </c>
      <c r="N35">
        <v>7.1</v>
      </c>
      <c r="O35">
        <v>3.2</v>
      </c>
      <c r="P35">
        <v>3</v>
      </c>
      <c r="Q35">
        <v>18</v>
      </c>
      <c r="R35">
        <v>8</v>
      </c>
      <c r="S35">
        <v>13</v>
      </c>
    </row>
    <row r="36" spans="1:21" x14ac:dyDescent="0.2">
      <c r="A36" s="5">
        <v>46160</v>
      </c>
      <c r="B36">
        <v>44</v>
      </c>
      <c r="C36">
        <v>3</v>
      </c>
      <c r="D36">
        <v>18</v>
      </c>
      <c r="E36">
        <v>20</v>
      </c>
      <c r="F36">
        <v>7.6</v>
      </c>
      <c r="G36">
        <v>8.1</v>
      </c>
      <c r="H36">
        <v>11.7</v>
      </c>
      <c r="I36">
        <v>6.2</v>
      </c>
      <c r="J36">
        <v>5.6</v>
      </c>
      <c r="K36">
        <v>5.5</v>
      </c>
      <c r="L36">
        <v>7.3</v>
      </c>
      <c r="M36">
        <v>7.5</v>
      </c>
      <c r="N36">
        <v>7.3</v>
      </c>
      <c r="O36">
        <v>5.9</v>
      </c>
      <c r="P36">
        <v>2</v>
      </c>
      <c r="Q36">
        <v>25</v>
      </c>
      <c r="R36">
        <v>24</v>
      </c>
    </row>
    <row r="37" spans="1:21" x14ac:dyDescent="0.2">
      <c r="A37" s="5">
        <v>46160</v>
      </c>
      <c r="B37">
        <v>45</v>
      </c>
      <c r="C37">
        <v>1</v>
      </c>
      <c r="D37">
        <v>4</v>
      </c>
      <c r="E37">
        <v>18</v>
      </c>
      <c r="F37">
        <v>6.1</v>
      </c>
      <c r="G37">
        <v>7.2</v>
      </c>
      <c r="H37">
        <v>3.4</v>
      </c>
      <c r="I37">
        <v>8.1</v>
      </c>
      <c r="P37">
        <v>0</v>
      </c>
    </row>
    <row r="38" spans="1:21" x14ac:dyDescent="0.2">
      <c r="A38" s="5">
        <v>46160</v>
      </c>
      <c r="B38">
        <v>46</v>
      </c>
      <c r="C38">
        <v>1</v>
      </c>
      <c r="D38">
        <v>1</v>
      </c>
      <c r="E38">
        <v>5</v>
      </c>
      <c r="F38">
        <v>3.9</v>
      </c>
      <c r="P38">
        <v>0</v>
      </c>
    </row>
    <row r="39" spans="1:21" x14ac:dyDescent="0.2">
      <c r="A39" s="5">
        <v>46160</v>
      </c>
      <c r="B39">
        <v>47</v>
      </c>
      <c r="C39">
        <v>1</v>
      </c>
      <c r="D39">
        <v>11</v>
      </c>
      <c r="E39">
        <v>38</v>
      </c>
      <c r="F39">
        <v>6.2</v>
      </c>
      <c r="G39">
        <v>7.4</v>
      </c>
      <c r="H39">
        <v>7.1</v>
      </c>
      <c r="I39">
        <v>5.8</v>
      </c>
      <c r="J39">
        <v>5.2</v>
      </c>
      <c r="K39">
        <v>5.3</v>
      </c>
      <c r="L39">
        <v>4.5999999999999996</v>
      </c>
      <c r="M39">
        <v>3.6</v>
      </c>
      <c r="N39">
        <v>4.7</v>
      </c>
      <c r="O39">
        <v>6.1</v>
      </c>
      <c r="P39">
        <v>2</v>
      </c>
      <c r="Q39">
        <v>15</v>
      </c>
      <c r="R39">
        <v>16</v>
      </c>
    </row>
    <row r="40" spans="1:21" x14ac:dyDescent="0.2">
      <c r="A40" s="5">
        <v>46160</v>
      </c>
      <c r="B40">
        <v>48</v>
      </c>
      <c r="C40">
        <v>1</v>
      </c>
      <c r="D40">
        <v>25</v>
      </c>
      <c r="E40">
        <v>47</v>
      </c>
      <c r="F40">
        <v>4.0999999999999996</v>
      </c>
      <c r="G40">
        <v>4.5999999999999996</v>
      </c>
      <c r="H40">
        <v>2.5</v>
      </c>
      <c r="I40">
        <v>2.7</v>
      </c>
      <c r="J40">
        <v>5.5</v>
      </c>
      <c r="K40">
        <v>6</v>
      </c>
      <c r="L40">
        <v>6.6</v>
      </c>
      <c r="M40">
        <v>7.1</v>
      </c>
      <c r="N40">
        <v>6</v>
      </c>
      <c r="O40">
        <v>3.1</v>
      </c>
      <c r="P40">
        <v>1</v>
      </c>
      <c r="Q40">
        <v>7</v>
      </c>
    </row>
    <row r="41" spans="1:21" x14ac:dyDescent="0.2">
      <c r="A41" s="5">
        <v>46160</v>
      </c>
      <c r="B41">
        <v>49</v>
      </c>
      <c r="C41">
        <v>2</v>
      </c>
      <c r="D41">
        <v>24</v>
      </c>
      <c r="E41">
        <v>59</v>
      </c>
      <c r="F41">
        <v>4.7</v>
      </c>
      <c r="G41">
        <v>6.1</v>
      </c>
      <c r="H41">
        <v>3.7</v>
      </c>
      <c r="I41">
        <v>5.0999999999999996</v>
      </c>
      <c r="J41">
        <v>4.0999999999999996</v>
      </c>
      <c r="K41">
        <v>5.2</v>
      </c>
      <c r="L41">
        <v>4.2</v>
      </c>
      <c r="M41">
        <v>5.3</v>
      </c>
      <c r="N41">
        <v>4.0999999999999996</v>
      </c>
      <c r="O41">
        <v>5.0999999999999996</v>
      </c>
      <c r="P41">
        <v>6</v>
      </c>
      <c r="Q41">
        <v>12</v>
      </c>
      <c r="R41">
        <v>22</v>
      </c>
      <c r="S41">
        <v>21</v>
      </c>
      <c r="T41">
        <v>22</v>
      </c>
      <c r="U41">
        <v>13</v>
      </c>
    </row>
    <row r="42" spans="1:21" x14ac:dyDescent="0.2">
      <c r="A42" s="5">
        <v>46160</v>
      </c>
      <c r="B42">
        <v>50</v>
      </c>
      <c r="C42">
        <v>3</v>
      </c>
      <c r="D42">
        <v>5</v>
      </c>
      <c r="E42">
        <v>14</v>
      </c>
      <c r="F42">
        <v>5.8</v>
      </c>
      <c r="G42">
        <v>4.0999999999999996</v>
      </c>
      <c r="H42">
        <v>5.7</v>
      </c>
      <c r="I42">
        <v>4.4000000000000004</v>
      </c>
      <c r="J42">
        <v>3.2</v>
      </c>
      <c r="P42">
        <v>0</v>
      </c>
    </row>
    <row r="43" spans="1:21" x14ac:dyDescent="0.2">
      <c r="A43" s="5">
        <v>46160</v>
      </c>
      <c r="B43">
        <v>51</v>
      </c>
      <c r="C43">
        <v>2</v>
      </c>
      <c r="D43">
        <v>6</v>
      </c>
      <c r="E43">
        <v>16</v>
      </c>
      <c r="F43">
        <v>5</v>
      </c>
      <c r="G43">
        <v>4.7</v>
      </c>
      <c r="H43">
        <v>6.2</v>
      </c>
      <c r="I43">
        <v>4.9000000000000004</v>
      </c>
      <c r="J43">
        <v>4</v>
      </c>
      <c r="K43">
        <v>4.5999999999999996</v>
      </c>
      <c r="P43">
        <v>0</v>
      </c>
    </row>
    <row r="44" spans="1:21" x14ac:dyDescent="0.2">
      <c r="A44" s="5">
        <v>46160</v>
      </c>
      <c r="B44">
        <v>52</v>
      </c>
      <c r="C44">
        <v>1</v>
      </c>
      <c r="D44">
        <v>27</v>
      </c>
      <c r="E44">
        <v>51</v>
      </c>
      <c r="F44">
        <v>4.7</v>
      </c>
      <c r="G44">
        <v>2.8</v>
      </c>
      <c r="H44">
        <v>5.2</v>
      </c>
      <c r="I44">
        <v>6.4</v>
      </c>
      <c r="J44">
        <v>6.1</v>
      </c>
      <c r="K44">
        <v>2.2999999999999998</v>
      </c>
      <c r="L44">
        <v>4.5</v>
      </c>
      <c r="M44">
        <v>8.1999999999999993</v>
      </c>
      <c r="N44">
        <v>10.3</v>
      </c>
      <c r="O44">
        <v>10.1</v>
      </c>
      <c r="P44">
        <v>2</v>
      </c>
      <c r="Q44">
        <v>12</v>
      </c>
      <c r="R44">
        <v>15</v>
      </c>
    </row>
    <row r="45" spans="1:21" x14ac:dyDescent="0.2">
      <c r="A45" s="5">
        <v>46160</v>
      </c>
      <c r="B45">
        <v>53</v>
      </c>
      <c r="C45">
        <v>1</v>
      </c>
      <c r="D45">
        <v>5</v>
      </c>
      <c r="E45">
        <v>12</v>
      </c>
      <c r="F45">
        <v>5.0999999999999996</v>
      </c>
      <c r="G45">
        <v>6.2</v>
      </c>
      <c r="H45">
        <v>4.2</v>
      </c>
      <c r="I45">
        <v>5.0999999999999996</v>
      </c>
      <c r="J45">
        <v>4.9000000000000004</v>
      </c>
      <c r="P45">
        <v>3</v>
      </c>
      <c r="Q45">
        <v>21</v>
      </c>
      <c r="R45">
        <v>19</v>
      </c>
      <c r="S45">
        <v>23</v>
      </c>
    </row>
    <row r="46" spans="1:21" x14ac:dyDescent="0.2">
      <c r="A46" s="5">
        <v>46160</v>
      </c>
      <c r="B46">
        <v>54</v>
      </c>
      <c r="C46">
        <v>2</v>
      </c>
      <c r="D46">
        <v>1</v>
      </c>
      <c r="E46">
        <v>14</v>
      </c>
      <c r="F46">
        <v>5.5</v>
      </c>
      <c r="P46">
        <v>0</v>
      </c>
    </row>
    <row r="47" spans="1:21" x14ac:dyDescent="0.2">
      <c r="A47" s="5">
        <v>46160</v>
      </c>
      <c r="B47">
        <v>55</v>
      </c>
      <c r="C47">
        <v>3</v>
      </c>
      <c r="D47">
        <v>13</v>
      </c>
      <c r="E47">
        <v>51</v>
      </c>
      <c r="F47">
        <v>3.9</v>
      </c>
      <c r="G47">
        <v>3.6</v>
      </c>
      <c r="H47">
        <v>5.0999999999999996</v>
      </c>
      <c r="I47">
        <v>5.8</v>
      </c>
      <c r="J47">
        <v>3.5</v>
      </c>
      <c r="K47">
        <v>3.6</v>
      </c>
      <c r="L47">
        <v>3.6</v>
      </c>
      <c r="M47">
        <v>5.4</v>
      </c>
      <c r="N47">
        <v>3.1</v>
      </c>
      <c r="O47">
        <v>4</v>
      </c>
      <c r="P47">
        <v>2</v>
      </c>
      <c r="Q47">
        <v>16</v>
      </c>
      <c r="R47">
        <v>23</v>
      </c>
    </row>
    <row r="48" spans="1:21" x14ac:dyDescent="0.2">
      <c r="A48" s="5">
        <v>46160</v>
      </c>
      <c r="B48">
        <v>56</v>
      </c>
      <c r="C48">
        <v>2</v>
      </c>
      <c r="D48">
        <v>18</v>
      </c>
      <c r="E48">
        <v>26</v>
      </c>
      <c r="F48">
        <v>7.4</v>
      </c>
      <c r="G48">
        <v>6.2</v>
      </c>
      <c r="H48">
        <v>4.4000000000000004</v>
      </c>
      <c r="I48">
        <v>5.5</v>
      </c>
      <c r="J48">
        <v>6.1</v>
      </c>
      <c r="K48">
        <v>2.8</v>
      </c>
      <c r="L48">
        <v>9.6</v>
      </c>
      <c r="M48">
        <v>2.6</v>
      </c>
      <c r="N48">
        <v>3.6</v>
      </c>
      <c r="P48">
        <v>3</v>
      </c>
      <c r="Q48">
        <v>22</v>
      </c>
      <c r="R48">
        <v>4</v>
      </c>
      <c r="S48">
        <v>14</v>
      </c>
    </row>
    <row r="49" spans="1:21" x14ac:dyDescent="0.2">
      <c r="A49" s="5">
        <v>46160</v>
      </c>
      <c r="B49">
        <v>57</v>
      </c>
      <c r="C49">
        <v>1</v>
      </c>
      <c r="D49">
        <v>6</v>
      </c>
      <c r="E49">
        <v>9</v>
      </c>
      <c r="F49">
        <v>5.0999999999999996</v>
      </c>
      <c r="G49">
        <v>5.9</v>
      </c>
      <c r="H49">
        <v>3.9</v>
      </c>
      <c r="I49">
        <v>5.0999999999999996</v>
      </c>
      <c r="J49">
        <v>3.2</v>
      </c>
      <c r="K49">
        <v>3.5</v>
      </c>
      <c r="P49">
        <v>0</v>
      </c>
    </row>
    <row r="50" spans="1:21" x14ac:dyDescent="0.2">
      <c r="A50" s="5">
        <v>46160</v>
      </c>
      <c r="B50">
        <v>58</v>
      </c>
      <c r="C50">
        <v>1</v>
      </c>
      <c r="D50">
        <v>16</v>
      </c>
      <c r="E50">
        <v>24</v>
      </c>
      <c r="F50">
        <v>4.9000000000000004</v>
      </c>
      <c r="G50">
        <v>4.3</v>
      </c>
      <c r="H50">
        <v>8</v>
      </c>
      <c r="I50">
        <v>4</v>
      </c>
      <c r="J50">
        <v>8.1999999999999993</v>
      </c>
      <c r="K50">
        <v>4.0999999999999996</v>
      </c>
      <c r="L50">
        <v>6.4</v>
      </c>
      <c r="M50">
        <v>2.9</v>
      </c>
      <c r="N50">
        <v>7.2</v>
      </c>
      <c r="O50">
        <v>6.9</v>
      </c>
      <c r="P50">
        <v>1</v>
      </c>
      <c r="Q50">
        <v>24</v>
      </c>
    </row>
    <row r="51" spans="1:21" x14ac:dyDescent="0.2">
      <c r="A51" s="5">
        <v>46160</v>
      </c>
      <c r="B51">
        <v>59</v>
      </c>
      <c r="C51">
        <v>3</v>
      </c>
      <c r="D51">
        <v>5</v>
      </c>
      <c r="E51">
        <v>16</v>
      </c>
      <c r="F51">
        <v>5</v>
      </c>
      <c r="G51">
        <v>3.1</v>
      </c>
      <c r="H51">
        <v>6.6</v>
      </c>
      <c r="I51">
        <v>4.2</v>
      </c>
      <c r="J51">
        <v>5.7</v>
      </c>
      <c r="K51">
        <v>5.3</v>
      </c>
      <c r="P51">
        <v>0</v>
      </c>
    </row>
    <row r="52" spans="1:21" x14ac:dyDescent="0.2">
      <c r="A52" s="5">
        <v>46160</v>
      </c>
      <c r="B52">
        <v>60</v>
      </c>
      <c r="C52">
        <v>2</v>
      </c>
      <c r="D52">
        <v>19</v>
      </c>
      <c r="E52">
        <v>57</v>
      </c>
      <c r="F52">
        <v>4.2</v>
      </c>
      <c r="G52">
        <v>3.1</v>
      </c>
      <c r="H52">
        <v>6</v>
      </c>
      <c r="I52">
        <v>5</v>
      </c>
      <c r="J52">
        <v>3.1</v>
      </c>
      <c r="K52">
        <v>3.7</v>
      </c>
      <c r="L52">
        <v>4.8</v>
      </c>
      <c r="M52">
        <v>3.8</v>
      </c>
      <c r="N52">
        <v>5.9</v>
      </c>
      <c r="O52">
        <v>3.6</v>
      </c>
      <c r="P52">
        <v>4</v>
      </c>
      <c r="Q52">
        <v>21</v>
      </c>
      <c r="R52">
        <v>21</v>
      </c>
      <c r="S52">
        <v>25</v>
      </c>
      <c r="T52">
        <v>19</v>
      </c>
    </row>
    <row r="53" spans="1:21" x14ac:dyDescent="0.2">
      <c r="A53" s="5">
        <v>46160</v>
      </c>
      <c r="B53">
        <v>61</v>
      </c>
      <c r="C53">
        <v>1</v>
      </c>
      <c r="D53">
        <v>50</v>
      </c>
      <c r="E53">
        <v>86</v>
      </c>
      <c r="F53">
        <v>4.2</v>
      </c>
      <c r="G53">
        <v>7.2</v>
      </c>
      <c r="H53">
        <v>9</v>
      </c>
      <c r="I53">
        <v>7.1</v>
      </c>
      <c r="J53">
        <v>2.6</v>
      </c>
      <c r="K53">
        <v>4.7</v>
      </c>
      <c r="L53">
        <v>3.8</v>
      </c>
      <c r="M53">
        <v>4.5999999999999996</v>
      </c>
      <c r="N53">
        <v>5.5</v>
      </c>
      <c r="O53">
        <v>3.9</v>
      </c>
      <c r="P53">
        <v>5</v>
      </c>
      <c r="Q53">
        <v>24</v>
      </c>
      <c r="R53">
        <v>19</v>
      </c>
      <c r="S53">
        <v>17</v>
      </c>
      <c r="T53">
        <v>19</v>
      </c>
      <c r="U53">
        <v>17</v>
      </c>
    </row>
    <row r="54" spans="1:21" x14ac:dyDescent="0.2">
      <c r="A54" s="5">
        <v>46160</v>
      </c>
      <c r="B54">
        <v>62</v>
      </c>
      <c r="C54">
        <v>2</v>
      </c>
      <c r="D54">
        <v>16</v>
      </c>
      <c r="E54">
        <v>21</v>
      </c>
      <c r="F54">
        <v>7.3</v>
      </c>
      <c r="G54">
        <v>8.1</v>
      </c>
      <c r="H54">
        <v>4</v>
      </c>
      <c r="I54">
        <v>5.8</v>
      </c>
      <c r="J54">
        <v>7.9</v>
      </c>
      <c r="K54">
        <v>6.2</v>
      </c>
      <c r="L54">
        <v>3.8</v>
      </c>
      <c r="M54">
        <v>4.5</v>
      </c>
      <c r="N54">
        <v>6.1</v>
      </c>
      <c r="O54">
        <v>3.4</v>
      </c>
      <c r="P54">
        <v>5</v>
      </c>
      <c r="Q54">
        <v>12</v>
      </c>
      <c r="R54">
        <v>13</v>
      </c>
      <c r="S54">
        <v>24</v>
      </c>
      <c r="T54">
        <v>6</v>
      </c>
      <c r="U54">
        <v>18</v>
      </c>
    </row>
    <row r="55" spans="1:21" x14ac:dyDescent="0.2">
      <c r="A55" s="5">
        <v>46160</v>
      </c>
      <c r="B55">
        <v>63</v>
      </c>
      <c r="C55">
        <v>1</v>
      </c>
      <c r="D55">
        <v>12</v>
      </c>
      <c r="E55">
        <v>26</v>
      </c>
      <c r="F55">
        <v>3.9</v>
      </c>
      <c r="G55">
        <v>4.5999999999999996</v>
      </c>
      <c r="H55">
        <v>4.0999999999999996</v>
      </c>
      <c r="I55">
        <v>3.1</v>
      </c>
      <c r="J55">
        <v>5.2</v>
      </c>
      <c r="K55">
        <v>5.3</v>
      </c>
      <c r="L55">
        <v>5.7</v>
      </c>
      <c r="M55">
        <v>3.1</v>
      </c>
      <c r="N55">
        <v>4.9000000000000004</v>
      </c>
      <c r="O55">
        <v>6.2</v>
      </c>
      <c r="P55">
        <v>11</v>
      </c>
      <c r="Q55">
        <v>25</v>
      </c>
      <c r="R55">
        <v>21</v>
      </c>
      <c r="S55">
        <v>18</v>
      </c>
      <c r="T55">
        <v>24</v>
      </c>
      <c r="U55">
        <v>11</v>
      </c>
    </row>
    <row r="56" spans="1:21" x14ac:dyDescent="0.2">
      <c r="A56" s="5">
        <v>46160</v>
      </c>
      <c r="B56">
        <v>64</v>
      </c>
      <c r="C56">
        <v>2</v>
      </c>
      <c r="D56">
        <v>42</v>
      </c>
      <c r="E56">
        <v>55</v>
      </c>
      <c r="F56">
        <v>2.6</v>
      </c>
      <c r="G56">
        <v>4.0999999999999996</v>
      </c>
      <c r="H56">
        <v>5.0999999999999996</v>
      </c>
      <c r="I56">
        <v>3.2</v>
      </c>
      <c r="J56">
        <v>3.7</v>
      </c>
      <c r="K56">
        <v>5</v>
      </c>
      <c r="L56">
        <v>2.8</v>
      </c>
      <c r="M56">
        <v>4</v>
      </c>
      <c r="N56">
        <v>3.1</v>
      </c>
      <c r="O56">
        <v>3.8</v>
      </c>
      <c r="P56">
        <v>7</v>
      </c>
      <c r="Q56">
        <v>24</v>
      </c>
      <c r="R56">
        <v>18</v>
      </c>
      <c r="S56">
        <v>14</v>
      </c>
      <c r="T56">
        <v>21</v>
      </c>
      <c r="U56">
        <v>18</v>
      </c>
    </row>
    <row r="57" spans="1:21" x14ac:dyDescent="0.2">
      <c r="A57" s="5">
        <v>46160</v>
      </c>
      <c r="B57">
        <v>25</v>
      </c>
      <c r="C57">
        <v>1</v>
      </c>
      <c r="D57">
        <v>24</v>
      </c>
      <c r="E57">
        <v>26</v>
      </c>
      <c r="F57">
        <v>7.8</v>
      </c>
      <c r="G57">
        <v>5.3</v>
      </c>
      <c r="H57">
        <v>18.899999999999999</v>
      </c>
      <c r="I57">
        <v>9.6</v>
      </c>
      <c r="J57">
        <v>6</v>
      </c>
      <c r="K57">
        <v>4.5</v>
      </c>
      <c r="L57">
        <v>8.6999999999999993</v>
      </c>
      <c r="M57">
        <v>8.5</v>
      </c>
      <c r="N57">
        <v>8.1999999999999993</v>
      </c>
      <c r="O57">
        <v>8.9</v>
      </c>
      <c r="P57">
        <v>1</v>
      </c>
      <c r="Q57">
        <v>4</v>
      </c>
    </row>
    <row r="58" spans="1:21" x14ac:dyDescent="0.2">
      <c r="A58" s="5">
        <v>46160</v>
      </c>
      <c r="B58">
        <v>27</v>
      </c>
      <c r="C58">
        <v>3</v>
      </c>
      <c r="D58">
        <v>14</v>
      </c>
      <c r="E58">
        <v>29</v>
      </c>
      <c r="F58">
        <v>6</v>
      </c>
      <c r="G58">
        <v>7.8</v>
      </c>
      <c r="H58">
        <v>5.2</v>
      </c>
      <c r="I58">
        <v>4.0999999999999996</v>
      </c>
      <c r="J58">
        <v>6.3</v>
      </c>
      <c r="K58">
        <v>4.5999999999999996</v>
      </c>
      <c r="L58">
        <v>9.1999999999999993</v>
      </c>
      <c r="M58">
        <v>5</v>
      </c>
      <c r="N58">
        <v>8.3000000000000007</v>
      </c>
      <c r="O58">
        <v>7.9</v>
      </c>
      <c r="P58">
        <v>8</v>
      </c>
      <c r="Q58">
        <v>15</v>
      </c>
      <c r="R58">
        <v>14</v>
      </c>
      <c r="S58">
        <v>14</v>
      </c>
      <c r="T58">
        <v>8</v>
      </c>
      <c r="U58">
        <v>6</v>
      </c>
    </row>
    <row r="59" spans="1:21" x14ac:dyDescent="0.2">
      <c r="A59" s="5">
        <v>46160</v>
      </c>
      <c r="B59">
        <v>29</v>
      </c>
      <c r="C59">
        <v>2</v>
      </c>
      <c r="D59">
        <v>20</v>
      </c>
      <c r="E59">
        <v>21</v>
      </c>
      <c r="F59">
        <v>10.1</v>
      </c>
      <c r="G59">
        <v>5.2</v>
      </c>
      <c r="H59">
        <v>4.4000000000000004</v>
      </c>
      <c r="I59">
        <v>6.4</v>
      </c>
      <c r="J59">
        <v>5.3</v>
      </c>
      <c r="K59">
        <v>9.1</v>
      </c>
      <c r="L59">
        <v>7</v>
      </c>
      <c r="M59">
        <v>6.9</v>
      </c>
      <c r="N59">
        <v>3.5</v>
      </c>
      <c r="O59">
        <v>3.4</v>
      </c>
      <c r="P59">
        <v>8</v>
      </c>
      <c r="Q59">
        <v>24</v>
      </c>
      <c r="R59">
        <v>18</v>
      </c>
      <c r="S59">
        <v>22</v>
      </c>
      <c r="T59">
        <v>6</v>
      </c>
      <c r="U59">
        <v>13</v>
      </c>
    </row>
    <row r="60" spans="1:21" x14ac:dyDescent="0.2">
      <c r="A60" s="5">
        <v>46160</v>
      </c>
      <c r="B60">
        <v>31</v>
      </c>
      <c r="C60">
        <v>2</v>
      </c>
      <c r="D60">
        <v>31</v>
      </c>
      <c r="E60">
        <v>40</v>
      </c>
      <c r="F60">
        <v>7.3</v>
      </c>
      <c r="G60">
        <v>8.1999999999999993</v>
      </c>
      <c r="H60">
        <v>7.9</v>
      </c>
      <c r="I60">
        <v>5.4</v>
      </c>
      <c r="J60">
        <v>7.8</v>
      </c>
      <c r="K60">
        <v>8.1</v>
      </c>
      <c r="L60">
        <v>9.1999999999999993</v>
      </c>
      <c r="M60">
        <v>8</v>
      </c>
      <c r="N60">
        <v>3.4</v>
      </c>
      <c r="O60">
        <v>3.2</v>
      </c>
      <c r="P60">
        <v>12</v>
      </c>
      <c r="Q60">
        <v>18</v>
      </c>
      <c r="R60">
        <v>4</v>
      </c>
      <c r="S60">
        <v>6</v>
      </c>
      <c r="T60">
        <v>18</v>
      </c>
      <c r="U60">
        <v>24</v>
      </c>
    </row>
    <row r="61" spans="1:21" x14ac:dyDescent="0.2">
      <c r="A61" s="5">
        <v>46160</v>
      </c>
      <c r="B61">
        <v>33</v>
      </c>
      <c r="C61">
        <v>2</v>
      </c>
      <c r="D61">
        <v>8</v>
      </c>
      <c r="E61">
        <v>34</v>
      </c>
      <c r="F61">
        <v>6.2</v>
      </c>
      <c r="G61">
        <v>6</v>
      </c>
      <c r="H61">
        <v>3.2</v>
      </c>
      <c r="I61">
        <v>4.3</v>
      </c>
      <c r="J61">
        <v>8</v>
      </c>
      <c r="K61">
        <v>5.6</v>
      </c>
      <c r="L61">
        <v>4.9000000000000004</v>
      </c>
      <c r="M61">
        <v>4.4000000000000004</v>
      </c>
      <c r="N61">
        <v>7.5</v>
      </c>
      <c r="O61">
        <v>7</v>
      </c>
      <c r="P61">
        <v>4</v>
      </c>
      <c r="Q61">
        <v>18</v>
      </c>
      <c r="R61">
        <v>26</v>
      </c>
      <c r="S61">
        <v>23</v>
      </c>
      <c r="T61">
        <v>18</v>
      </c>
    </row>
    <row r="62" spans="1:21" x14ac:dyDescent="0.2">
      <c r="A62" s="5">
        <v>46160</v>
      </c>
      <c r="B62">
        <v>35</v>
      </c>
      <c r="C62">
        <v>2</v>
      </c>
      <c r="D62">
        <v>5</v>
      </c>
      <c r="E62">
        <v>8</v>
      </c>
      <c r="F62">
        <v>6.3</v>
      </c>
      <c r="G62">
        <v>4.0999999999999996</v>
      </c>
      <c r="H62">
        <v>4.8</v>
      </c>
      <c r="I62">
        <v>6.2</v>
      </c>
      <c r="J62">
        <v>7.4</v>
      </c>
      <c r="P62">
        <v>1</v>
      </c>
      <c r="Q62">
        <v>14</v>
      </c>
    </row>
    <row r="63" spans="1:21" x14ac:dyDescent="0.2">
      <c r="A63" s="5">
        <v>46160</v>
      </c>
      <c r="B63">
        <v>37</v>
      </c>
      <c r="C63">
        <v>1</v>
      </c>
      <c r="D63">
        <v>6</v>
      </c>
      <c r="E63">
        <v>16</v>
      </c>
      <c r="F63">
        <v>4.4000000000000004</v>
      </c>
      <c r="G63">
        <v>4.7</v>
      </c>
      <c r="H63">
        <v>4.8</v>
      </c>
      <c r="I63">
        <v>3.1</v>
      </c>
      <c r="J63">
        <v>3.5</v>
      </c>
      <c r="K63">
        <v>3.8</v>
      </c>
      <c r="P63">
        <v>4</v>
      </c>
      <c r="Q63">
        <v>22</v>
      </c>
      <c r="R63">
        <v>11</v>
      </c>
      <c r="S63">
        <v>20</v>
      </c>
      <c r="T63">
        <v>19</v>
      </c>
    </row>
    <row r="64" spans="1:21" x14ac:dyDescent="0.2">
      <c r="A64" s="5">
        <v>46160</v>
      </c>
      <c r="B64">
        <v>39</v>
      </c>
      <c r="C64">
        <v>2</v>
      </c>
      <c r="D64">
        <v>14</v>
      </c>
      <c r="E64">
        <v>14</v>
      </c>
      <c r="F64">
        <v>10.3</v>
      </c>
      <c r="G64">
        <v>8.1999999999999993</v>
      </c>
      <c r="H64">
        <v>6.9</v>
      </c>
      <c r="I64">
        <v>5.2</v>
      </c>
      <c r="J64">
        <v>6.6</v>
      </c>
      <c r="K64">
        <v>4.0999999999999996</v>
      </c>
      <c r="L64">
        <v>3.9</v>
      </c>
      <c r="M64">
        <v>5.2</v>
      </c>
      <c r="N64">
        <v>6.7</v>
      </c>
      <c r="O64">
        <v>5.6</v>
      </c>
      <c r="P64">
        <v>7</v>
      </c>
      <c r="Q64">
        <v>4</v>
      </c>
      <c r="R64">
        <v>2</v>
      </c>
      <c r="S64">
        <v>12</v>
      </c>
      <c r="T64">
        <v>11</v>
      </c>
      <c r="U64">
        <v>20</v>
      </c>
    </row>
    <row r="65" spans="1:21" x14ac:dyDescent="0.2">
      <c r="A65" s="5">
        <v>46160</v>
      </c>
      <c r="B65">
        <v>41</v>
      </c>
      <c r="C65">
        <v>1</v>
      </c>
      <c r="D65">
        <v>72</v>
      </c>
      <c r="E65">
        <v>42</v>
      </c>
      <c r="F65">
        <v>12</v>
      </c>
      <c r="G65">
        <v>5.2</v>
      </c>
      <c r="H65">
        <v>5.4</v>
      </c>
      <c r="I65">
        <v>6.6</v>
      </c>
      <c r="J65">
        <v>5.9</v>
      </c>
      <c r="K65">
        <v>10.3</v>
      </c>
      <c r="L65">
        <v>6</v>
      </c>
      <c r="M65">
        <v>9.1</v>
      </c>
      <c r="N65">
        <v>4.4000000000000004</v>
      </c>
      <c r="O65">
        <v>7.9</v>
      </c>
      <c r="P65">
        <v>8</v>
      </c>
      <c r="Q65">
        <v>12</v>
      </c>
      <c r="R65">
        <v>23</v>
      </c>
      <c r="S65">
        <v>6</v>
      </c>
      <c r="T65">
        <v>28</v>
      </c>
      <c r="U65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2509-B5FB-3448-A46C-C8CA4BE17881}">
  <dimension ref="A1:F65"/>
  <sheetViews>
    <sheetView tabSelected="1" topLeftCell="A17" workbookViewId="0">
      <selection activeCell="L56" sqref="L56"/>
    </sheetView>
  </sheetViews>
  <sheetFormatPr baseColWidth="10" defaultRowHeight="15" x14ac:dyDescent="0.2"/>
  <sheetData>
    <row r="1" spans="1:6" x14ac:dyDescent="0.2">
      <c r="A1" s="9" t="s">
        <v>4</v>
      </c>
      <c r="B1" s="9" t="s">
        <v>3</v>
      </c>
      <c r="C1" s="9" t="s">
        <v>7</v>
      </c>
      <c r="D1" s="9" t="s">
        <v>126</v>
      </c>
      <c r="E1" s="9" t="s">
        <v>132</v>
      </c>
      <c r="F1" s="9" t="s">
        <v>180</v>
      </c>
    </row>
    <row r="2" spans="1:6" x14ac:dyDescent="0.2">
      <c r="A2" s="8">
        <v>46159</v>
      </c>
      <c r="B2" s="10">
        <v>1</v>
      </c>
      <c r="C2" s="10">
        <v>1</v>
      </c>
      <c r="D2">
        <v>0</v>
      </c>
      <c r="E2">
        <v>0</v>
      </c>
      <c r="F2">
        <v>0</v>
      </c>
    </row>
    <row r="3" spans="1:6" x14ac:dyDescent="0.2">
      <c r="A3" s="8">
        <v>46159</v>
      </c>
      <c r="B3" s="10">
        <v>2</v>
      </c>
      <c r="C3" s="10">
        <v>1</v>
      </c>
      <c r="D3">
        <v>1</v>
      </c>
      <c r="E3">
        <v>0</v>
      </c>
      <c r="F3">
        <v>0</v>
      </c>
    </row>
    <row r="4" spans="1:6" x14ac:dyDescent="0.2">
      <c r="A4" s="8">
        <v>46159</v>
      </c>
      <c r="B4" s="10">
        <v>3</v>
      </c>
      <c r="C4" s="10">
        <v>1</v>
      </c>
      <c r="D4">
        <v>0</v>
      </c>
      <c r="E4">
        <v>0</v>
      </c>
      <c r="F4">
        <v>0</v>
      </c>
    </row>
    <row r="5" spans="1:6" x14ac:dyDescent="0.2">
      <c r="A5" s="8">
        <v>46159</v>
      </c>
      <c r="B5" s="10">
        <v>4</v>
      </c>
      <c r="C5" s="10">
        <v>1</v>
      </c>
      <c r="D5">
        <v>0</v>
      </c>
      <c r="E5">
        <v>0</v>
      </c>
      <c r="F5">
        <v>0</v>
      </c>
    </row>
    <row r="6" spans="1:6" x14ac:dyDescent="0.2">
      <c r="A6" s="8">
        <v>46159</v>
      </c>
      <c r="B6" s="10">
        <v>5</v>
      </c>
      <c r="C6" s="10">
        <v>1</v>
      </c>
      <c r="D6">
        <v>0</v>
      </c>
      <c r="E6">
        <v>0</v>
      </c>
      <c r="F6">
        <v>0</v>
      </c>
    </row>
    <row r="7" spans="1:6" x14ac:dyDescent="0.2">
      <c r="A7" s="8">
        <v>46159</v>
      </c>
      <c r="B7" s="10">
        <v>6</v>
      </c>
      <c r="C7" s="10">
        <v>1</v>
      </c>
      <c r="D7">
        <v>0</v>
      </c>
      <c r="E7">
        <v>0</v>
      </c>
      <c r="F7">
        <v>0</v>
      </c>
    </row>
    <row r="8" spans="1:6" x14ac:dyDescent="0.2">
      <c r="A8" s="8">
        <v>46159</v>
      </c>
      <c r="B8" s="10">
        <v>7</v>
      </c>
      <c r="C8" s="10">
        <v>1</v>
      </c>
      <c r="D8">
        <v>0</v>
      </c>
      <c r="E8">
        <v>0</v>
      </c>
      <c r="F8">
        <v>0</v>
      </c>
    </row>
    <row r="9" spans="1:6" x14ac:dyDescent="0.2">
      <c r="A9" s="8">
        <v>46159</v>
      </c>
      <c r="B9" s="10">
        <v>8</v>
      </c>
      <c r="C9" s="10">
        <v>1</v>
      </c>
      <c r="D9">
        <v>0</v>
      </c>
      <c r="E9">
        <v>0</v>
      </c>
      <c r="F9">
        <v>1</v>
      </c>
    </row>
    <row r="10" spans="1:6" x14ac:dyDescent="0.2">
      <c r="A10" s="8">
        <v>46159</v>
      </c>
      <c r="B10" s="10">
        <v>9</v>
      </c>
      <c r="C10" s="10">
        <v>1</v>
      </c>
      <c r="D10">
        <v>0</v>
      </c>
      <c r="E10">
        <v>0</v>
      </c>
      <c r="F10">
        <v>0</v>
      </c>
    </row>
    <row r="11" spans="1:6" x14ac:dyDescent="0.2">
      <c r="A11" s="8">
        <v>46159</v>
      </c>
      <c r="B11" s="10">
        <v>10</v>
      </c>
      <c r="C11" s="10">
        <v>1</v>
      </c>
      <c r="D11">
        <v>0</v>
      </c>
      <c r="E11">
        <v>0</v>
      </c>
      <c r="F11">
        <v>0</v>
      </c>
    </row>
    <row r="12" spans="1:6" x14ac:dyDescent="0.2">
      <c r="A12" s="8">
        <v>46159</v>
      </c>
      <c r="B12" s="10">
        <v>11</v>
      </c>
      <c r="C12" s="10">
        <v>1</v>
      </c>
      <c r="D12">
        <v>0</v>
      </c>
      <c r="E12">
        <v>0</v>
      </c>
      <c r="F12">
        <v>0</v>
      </c>
    </row>
    <row r="13" spans="1:6" x14ac:dyDescent="0.2">
      <c r="A13" s="8">
        <v>46159</v>
      </c>
      <c r="B13" s="10">
        <v>12</v>
      </c>
      <c r="C13" s="10">
        <v>1</v>
      </c>
      <c r="D13">
        <v>0</v>
      </c>
      <c r="E13">
        <v>0</v>
      </c>
      <c r="F13">
        <v>0</v>
      </c>
    </row>
    <row r="14" spans="1:6" x14ac:dyDescent="0.2">
      <c r="A14" s="8">
        <v>46159</v>
      </c>
      <c r="B14" s="10">
        <v>13</v>
      </c>
      <c r="C14" s="10">
        <v>1</v>
      </c>
      <c r="D14">
        <v>0</v>
      </c>
      <c r="E14">
        <v>0</v>
      </c>
      <c r="F14">
        <v>0</v>
      </c>
    </row>
    <row r="15" spans="1:6" x14ac:dyDescent="0.2">
      <c r="A15" s="8">
        <v>46159</v>
      </c>
      <c r="B15" s="10">
        <v>14</v>
      </c>
      <c r="C15" s="10">
        <v>1</v>
      </c>
      <c r="D15">
        <v>0</v>
      </c>
      <c r="E15">
        <v>0</v>
      </c>
      <c r="F15">
        <v>0</v>
      </c>
    </row>
    <row r="16" spans="1:6" x14ac:dyDescent="0.2">
      <c r="A16" s="8">
        <v>46159</v>
      </c>
      <c r="B16" s="10">
        <v>15</v>
      </c>
      <c r="C16" s="10">
        <v>1</v>
      </c>
      <c r="D16">
        <v>0</v>
      </c>
      <c r="E16">
        <v>2</v>
      </c>
      <c r="F16">
        <v>0</v>
      </c>
    </row>
    <row r="17" spans="1:6" x14ac:dyDescent="0.2">
      <c r="A17" s="8">
        <v>46159</v>
      </c>
      <c r="B17" s="10">
        <v>16</v>
      </c>
      <c r="C17" s="10">
        <v>1</v>
      </c>
      <c r="D17">
        <v>0</v>
      </c>
      <c r="E17">
        <v>0</v>
      </c>
      <c r="F17">
        <v>0</v>
      </c>
    </row>
    <row r="18" spans="1:6" x14ac:dyDescent="0.2">
      <c r="A18" s="8">
        <v>46159</v>
      </c>
      <c r="B18" s="10">
        <v>17</v>
      </c>
      <c r="C18" s="10">
        <v>1</v>
      </c>
      <c r="D18">
        <v>0</v>
      </c>
      <c r="E18">
        <v>1</v>
      </c>
      <c r="F18">
        <v>0</v>
      </c>
    </row>
    <row r="19" spans="1:6" x14ac:dyDescent="0.2">
      <c r="A19" s="8">
        <v>46159</v>
      </c>
      <c r="B19" s="10">
        <v>18</v>
      </c>
      <c r="C19" s="10">
        <v>1</v>
      </c>
      <c r="D19">
        <v>0</v>
      </c>
      <c r="E19">
        <v>0</v>
      </c>
      <c r="F19">
        <v>0</v>
      </c>
    </row>
    <row r="20" spans="1:6" x14ac:dyDescent="0.2">
      <c r="A20" s="8">
        <v>46159</v>
      </c>
      <c r="B20" s="10">
        <v>19</v>
      </c>
      <c r="C20" s="10">
        <v>1</v>
      </c>
      <c r="D20">
        <v>0</v>
      </c>
      <c r="E20">
        <v>0</v>
      </c>
      <c r="F20">
        <v>0</v>
      </c>
    </row>
    <row r="21" spans="1:6" x14ac:dyDescent="0.2">
      <c r="A21" s="8">
        <v>46159</v>
      </c>
      <c r="B21" s="10">
        <v>20</v>
      </c>
      <c r="C21" s="10">
        <v>1</v>
      </c>
      <c r="D21">
        <v>0</v>
      </c>
      <c r="E21">
        <v>0</v>
      </c>
      <c r="F21">
        <v>0</v>
      </c>
    </row>
    <row r="22" spans="1:6" x14ac:dyDescent="0.2">
      <c r="A22" s="8">
        <v>46159</v>
      </c>
      <c r="B22" s="10">
        <v>21</v>
      </c>
      <c r="C22" s="10">
        <v>1</v>
      </c>
      <c r="D22">
        <v>0</v>
      </c>
      <c r="E22">
        <v>0</v>
      </c>
      <c r="F22">
        <v>0</v>
      </c>
    </row>
    <row r="23" spans="1:6" x14ac:dyDescent="0.2">
      <c r="A23" s="8">
        <v>46159</v>
      </c>
      <c r="B23" s="10">
        <v>22</v>
      </c>
      <c r="C23" s="10">
        <v>1</v>
      </c>
      <c r="D23">
        <v>0</v>
      </c>
      <c r="E23">
        <v>0</v>
      </c>
      <c r="F23">
        <v>0</v>
      </c>
    </row>
    <row r="24" spans="1:6" x14ac:dyDescent="0.2">
      <c r="A24" s="8">
        <v>46159</v>
      </c>
      <c r="B24" s="10">
        <v>23</v>
      </c>
      <c r="C24" s="10">
        <v>1</v>
      </c>
      <c r="D24">
        <v>0</v>
      </c>
      <c r="E24">
        <v>0</v>
      </c>
      <c r="F24">
        <v>1</v>
      </c>
    </row>
    <row r="25" spans="1:6" x14ac:dyDescent="0.2">
      <c r="A25" s="8">
        <v>46159</v>
      </c>
      <c r="B25" s="10">
        <v>24</v>
      </c>
      <c r="C25" s="10">
        <v>1</v>
      </c>
      <c r="D25">
        <v>0</v>
      </c>
      <c r="E25">
        <v>0</v>
      </c>
      <c r="F25">
        <v>0</v>
      </c>
    </row>
    <row r="26" spans="1:6" x14ac:dyDescent="0.2">
      <c r="A26" s="8">
        <v>46160</v>
      </c>
      <c r="B26" s="10">
        <v>26</v>
      </c>
      <c r="C26" s="10">
        <v>1</v>
      </c>
      <c r="D26">
        <v>0</v>
      </c>
      <c r="E26">
        <v>0</v>
      </c>
      <c r="F26">
        <v>0</v>
      </c>
    </row>
    <row r="27" spans="1:6" x14ac:dyDescent="0.2">
      <c r="A27" s="8">
        <v>46160</v>
      </c>
      <c r="B27" s="10">
        <v>28</v>
      </c>
      <c r="C27" s="10">
        <v>1</v>
      </c>
      <c r="D27">
        <v>1</v>
      </c>
      <c r="E27">
        <v>0</v>
      </c>
      <c r="F27">
        <v>0</v>
      </c>
    </row>
    <row r="28" spans="1:6" x14ac:dyDescent="0.2">
      <c r="A28" s="8">
        <v>46160</v>
      </c>
      <c r="B28" s="10">
        <v>30</v>
      </c>
      <c r="C28" s="10">
        <v>1</v>
      </c>
      <c r="D28">
        <v>1</v>
      </c>
      <c r="E28">
        <v>0</v>
      </c>
      <c r="F28">
        <v>0</v>
      </c>
    </row>
    <row r="29" spans="1:6" x14ac:dyDescent="0.2">
      <c r="A29" s="8">
        <v>46160</v>
      </c>
      <c r="B29" s="10">
        <v>32</v>
      </c>
      <c r="C29" s="10">
        <v>1</v>
      </c>
      <c r="D29">
        <v>0</v>
      </c>
      <c r="E29">
        <v>0</v>
      </c>
      <c r="F29">
        <v>0</v>
      </c>
    </row>
    <row r="30" spans="1:6" x14ac:dyDescent="0.2">
      <c r="A30" s="8">
        <v>46160</v>
      </c>
      <c r="B30" s="10">
        <v>34</v>
      </c>
      <c r="C30" s="10">
        <v>1</v>
      </c>
      <c r="D30">
        <v>1</v>
      </c>
      <c r="E30">
        <v>0</v>
      </c>
      <c r="F30">
        <v>0</v>
      </c>
    </row>
    <row r="31" spans="1:6" x14ac:dyDescent="0.2">
      <c r="A31" s="8">
        <v>46160</v>
      </c>
      <c r="B31" s="10">
        <v>36</v>
      </c>
      <c r="C31" s="10">
        <v>1</v>
      </c>
      <c r="D31">
        <v>2</v>
      </c>
      <c r="E31">
        <v>0</v>
      </c>
      <c r="F31">
        <v>0</v>
      </c>
    </row>
    <row r="32" spans="1:6" x14ac:dyDescent="0.2">
      <c r="A32" s="8">
        <v>46160</v>
      </c>
      <c r="B32" s="10">
        <v>38</v>
      </c>
      <c r="C32" s="10">
        <v>1</v>
      </c>
      <c r="D32">
        <v>0</v>
      </c>
      <c r="E32">
        <v>0</v>
      </c>
      <c r="F32">
        <v>0</v>
      </c>
    </row>
    <row r="33" spans="1:6" x14ac:dyDescent="0.2">
      <c r="A33" s="8">
        <v>46160</v>
      </c>
      <c r="B33" s="10">
        <v>40</v>
      </c>
      <c r="C33" s="10">
        <v>1</v>
      </c>
      <c r="D33">
        <v>0</v>
      </c>
      <c r="E33">
        <v>0</v>
      </c>
      <c r="F33">
        <v>0</v>
      </c>
    </row>
    <row r="34" spans="1:6" x14ac:dyDescent="0.2">
      <c r="A34" s="8">
        <v>46160</v>
      </c>
      <c r="B34" s="10">
        <v>42</v>
      </c>
      <c r="C34" s="10">
        <v>1</v>
      </c>
      <c r="D34">
        <v>0</v>
      </c>
      <c r="E34">
        <v>0</v>
      </c>
      <c r="F34">
        <v>0</v>
      </c>
    </row>
    <row r="35" spans="1:6" x14ac:dyDescent="0.2">
      <c r="A35" s="8">
        <v>46160</v>
      </c>
      <c r="B35" s="10">
        <v>43</v>
      </c>
      <c r="C35" s="10">
        <v>2</v>
      </c>
      <c r="D35">
        <v>0</v>
      </c>
      <c r="E35">
        <v>0</v>
      </c>
      <c r="F35">
        <v>0</v>
      </c>
    </row>
    <row r="36" spans="1:6" x14ac:dyDescent="0.2">
      <c r="A36" s="8">
        <v>46160</v>
      </c>
      <c r="B36" s="10">
        <v>44</v>
      </c>
      <c r="C36" s="10">
        <v>3</v>
      </c>
      <c r="D36">
        <v>0</v>
      </c>
      <c r="E36">
        <v>0</v>
      </c>
      <c r="F36">
        <v>0</v>
      </c>
    </row>
    <row r="37" spans="1:6" x14ac:dyDescent="0.2">
      <c r="A37" s="8">
        <v>46160</v>
      </c>
      <c r="B37" s="10">
        <v>45</v>
      </c>
      <c r="C37" s="10">
        <v>1</v>
      </c>
      <c r="D37">
        <v>0</v>
      </c>
      <c r="E37">
        <v>0</v>
      </c>
      <c r="F37">
        <v>0</v>
      </c>
    </row>
    <row r="38" spans="1:6" x14ac:dyDescent="0.2">
      <c r="A38" s="8">
        <v>46160</v>
      </c>
      <c r="B38" s="10">
        <v>46</v>
      </c>
      <c r="C38" s="10">
        <v>1</v>
      </c>
      <c r="D38">
        <v>0</v>
      </c>
      <c r="E38">
        <v>0</v>
      </c>
      <c r="F38">
        <v>0</v>
      </c>
    </row>
    <row r="39" spans="1:6" x14ac:dyDescent="0.2">
      <c r="A39" s="8">
        <v>46160</v>
      </c>
      <c r="B39" s="10">
        <v>47</v>
      </c>
      <c r="C39" s="10">
        <v>1</v>
      </c>
      <c r="D39">
        <v>0</v>
      </c>
      <c r="E39">
        <v>0</v>
      </c>
      <c r="F39">
        <v>0</v>
      </c>
    </row>
    <row r="40" spans="1:6" x14ac:dyDescent="0.2">
      <c r="A40" s="8">
        <v>46160</v>
      </c>
      <c r="B40" s="10">
        <v>48</v>
      </c>
      <c r="C40" s="10">
        <v>1</v>
      </c>
      <c r="D40">
        <v>0</v>
      </c>
      <c r="E40">
        <v>1</v>
      </c>
      <c r="F40">
        <v>0</v>
      </c>
    </row>
    <row r="41" spans="1:6" x14ac:dyDescent="0.2">
      <c r="A41" s="8">
        <v>46160</v>
      </c>
      <c r="B41" s="10">
        <v>49</v>
      </c>
      <c r="C41" s="10">
        <v>2</v>
      </c>
      <c r="D41">
        <v>0</v>
      </c>
      <c r="E41">
        <v>0</v>
      </c>
      <c r="F41">
        <v>0</v>
      </c>
    </row>
    <row r="42" spans="1:6" x14ac:dyDescent="0.2">
      <c r="A42" s="8">
        <v>46160</v>
      </c>
      <c r="B42" s="10">
        <v>50</v>
      </c>
      <c r="C42" s="10">
        <v>3</v>
      </c>
      <c r="D42">
        <v>0</v>
      </c>
      <c r="E42">
        <v>0</v>
      </c>
      <c r="F42">
        <v>0</v>
      </c>
    </row>
    <row r="43" spans="1:6" x14ac:dyDescent="0.2">
      <c r="A43" s="8">
        <v>46160</v>
      </c>
      <c r="B43" s="10">
        <v>51</v>
      </c>
      <c r="C43" s="10">
        <v>2</v>
      </c>
      <c r="D43">
        <v>0</v>
      </c>
      <c r="E43">
        <v>0</v>
      </c>
      <c r="F43">
        <v>0</v>
      </c>
    </row>
    <row r="44" spans="1:6" x14ac:dyDescent="0.2">
      <c r="A44" s="8">
        <v>46160</v>
      </c>
      <c r="B44" s="10">
        <v>52</v>
      </c>
      <c r="C44" s="10">
        <v>1</v>
      </c>
      <c r="D44">
        <v>1</v>
      </c>
      <c r="E44">
        <v>0</v>
      </c>
      <c r="F44">
        <v>0</v>
      </c>
    </row>
    <row r="45" spans="1:6" x14ac:dyDescent="0.2">
      <c r="A45" s="8">
        <v>46160</v>
      </c>
      <c r="B45" s="10">
        <v>53</v>
      </c>
      <c r="C45" s="10">
        <v>1</v>
      </c>
      <c r="D45">
        <v>0</v>
      </c>
      <c r="E45">
        <v>0</v>
      </c>
      <c r="F45">
        <v>0</v>
      </c>
    </row>
    <row r="46" spans="1:6" x14ac:dyDescent="0.2">
      <c r="A46" s="8">
        <v>46160</v>
      </c>
      <c r="B46" s="10">
        <v>54</v>
      </c>
      <c r="C46" s="10">
        <v>2</v>
      </c>
      <c r="D46">
        <v>1</v>
      </c>
      <c r="E46">
        <v>0</v>
      </c>
      <c r="F46">
        <v>0</v>
      </c>
    </row>
    <row r="47" spans="1:6" x14ac:dyDescent="0.2">
      <c r="A47" s="8">
        <v>46160</v>
      </c>
      <c r="B47" s="10">
        <v>55</v>
      </c>
      <c r="C47" s="10">
        <v>3</v>
      </c>
      <c r="D47">
        <v>0</v>
      </c>
      <c r="E47">
        <v>0</v>
      </c>
      <c r="F47">
        <v>0</v>
      </c>
    </row>
    <row r="48" spans="1:6" x14ac:dyDescent="0.2">
      <c r="A48" s="8">
        <v>46160</v>
      </c>
      <c r="B48" s="10">
        <v>56</v>
      </c>
      <c r="C48" s="10">
        <v>2</v>
      </c>
      <c r="D48">
        <v>0</v>
      </c>
      <c r="E48">
        <v>0</v>
      </c>
      <c r="F48">
        <v>0</v>
      </c>
    </row>
    <row r="49" spans="1:6" x14ac:dyDescent="0.2">
      <c r="A49" s="8">
        <v>46160</v>
      </c>
      <c r="B49" s="10">
        <v>57</v>
      </c>
      <c r="C49" s="10">
        <v>1</v>
      </c>
      <c r="D49">
        <v>0</v>
      </c>
      <c r="E49">
        <v>0</v>
      </c>
      <c r="F49">
        <v>0</v>
      </c>
    </row>
    <row r="50" spans="1:6" x14ac:dyDescent="0.2">
      <c r="A50" s="8">
        <v>46160</v>
      </c>
      <c r="B50" s="10">
        <v>58</v>
      </c>
      <c r="C50" s="10">
        <v>1</v>
      </c>
      <c r="D50">
        <v>0</v>
      </c>
      <c r="E50">
        <v>0</v>
      </c>
      <c r="F50">
        <v>0</v>
      </c>
    </row>
    <row r="51" spans="1:6" x14ac:dyDescent="0.2">
      <c r="A51" s="8">
        <v>46160</v>
      </c>
      <c r="B51" s="10">
        <v>59</v>
      </c>
      <c r="C51" s="10">
        <v>3</v>
      </c>
      <c r="D51">
        <v>0</v>
      </c>
      <c r="E51">
        <v>0</v>
      </c>
      <c r="F51">
        <v>0</v>
      </c>
    </row>
    <row r="52" spans="1:6" x14ac:dyDescent="0.2">
      <c r="A52" s="8">
        <v>46160</v>
      </c>
      <c r="B52" s="10">
        <v>60</v>
      </c>
      <c r="C52" s="10">
        <v>2</v>
      </c>
      <c r="D52">
        <v>0</v>
      </c>
      <c r="E52">
        <v>0</v>
      </c>
      <c r="F52">
        <v>0</v>
      </c>
    </row>
    <row r="53" spans="1:6" x14ac:dyDescent="0.2">
      <c r="A53" s="8">
        <v>46160</v>
      </c>
      <c r="B53" s="10">
        <v>61</v>
      </c>
      <c r="C53" s="10">
        <v>1</v>
      </c>
      <c r="D53">
        <v>1</v>
      </c>
      <c r="E53">
        <v>0</v>
      </c>
      <c r="F53">
        <v>0</v>
      </c>
    </row>
    <row r="54" spans="1:6" x14ac:dyDescent="0.2">
      <c r="A54" s="8">
        <v>46160</v>
      </c>
      <c r="B54" s="10">
        <v>62</v>
      </c>
      <c r="C54" s="10">
        <v>2</v>
      </c>
      <c r="D54">
        <v>0</v>
      </c>
      <c r="E54">
        <v>0</v>
      </c>
      <c r="F54">
        <v>0</v>
      </c>
    </row>
    <row r="55" spans="1:6" x14ac:dyDescent="0.2">
      <c r="A55" s="8">
        <v>46160</v>
      </c>
      <c r="B55" s="10">
        <v>63</v>
      </c>
      <c r="C55" s="10">
        <v>1</v>
      </c>
      <c r="D55">
        <v>0</v>
      </c>
      <c r="E55">
        <v>0</v>
      </c>
      <c r="F55">
        <v>0</v>
      </c>
    </row>
    <row r="56" spans="1:6" x14ac:dyDescent="0.2">
      <c r="A56" s="8">
        <v>46160</v>
      </c>
      <c r="B56" s="10">
        <v>64</v>
      </c>
      <c r="C56" s="10">
        <v>2</v>
      </c>
      <c r="D56">
        <v>1</v>
      </c>
      <c r="E56">
        <v>0</v>
      </c>
      <c r="F56">
        <v>0</v>
      </c>
    </row>
    <row r="57" spans="1:6" x14ac:dyDescent="0.2">
      <c r="A57" s="8">
        <v>46160</v>
      </c>
      <c r="B57" s="10">
        <v>25</v>
      </c>
      <c r="C57" s="10">
        <v>1</v>
      </c>
      <c r="D57">
        <v>0</v>
      </c>
      <c r="E57">
        <v>0</v>
      </c>
      <c r="F57">
        <v>0</v>
      </c>
    </row>
    <row r="58" spans="1:6" x14ac:dyDescent="0.2">
      <c r="A58" s="8">
        <v>46160</v>
      </c>
      <c r="B58" s="10">
        <v>27</v>
      </c>
      <c r="C58" s="10">
        <v>3</v>
      </c>
      <c r="D58">
        <v>0</v>
      </c>
      <c r="E58">
        <v>0</v>
      </c>
      <c r="F58">
        <v>0</v>
      </c>
    </row>
    <row r="59" spans="1:6" x14ac:dyDescent="0.2">
      <c r="A59" s="8">
        <v>46160</v>
      </c>
      <c r="B59" s="10">
        <v>29</v>
      </c>
      <c r="C59" s="10">
        <v>2</v>
      </c>
      <c r="D59">
        <v>6</v>
      </c>
      <c r="E59">
        <v>0</v>
      </c>
      <c r="F59">
        <v>0</v>
      </c>
    </row>
    <row r="60" spans="1:6" x14ac:dyDescent="0.2">
      <c r="A60" s="8">
        <v>46160</v>
      </c>
      <c r="B60" s="10">
        <v>31</v>
      </c>
      <c r="C60" s="10">
        <v>2</v>
      </c>
      <c r="D60">
        <v>7</v>
      </c>
      <c r="E60">
        <v>0</v>
      </c>
      <c r="F60">
        <v>0</v>
      </c>
    </row>
    <row r="61" spans="1:6" x14ac:dyDescent="0.2">
      <c r="A61" s="8">
        <v>46160</v>
      </c>
      <c r="B61" s="10">
        <v>33</v>
      </c>
      <c r="C61" s="10">
        <v>2</v>
      </c>
      <c r="D61">
        <v>0</v>
      </c>
      <c r="E61">
        <v>0</v>
      </c>
      <c r="F61">
        <v>0</v>
      </c>
    </row>
    <row r="62" spans="1:6" x14ac:dyDescent="0.2">
      <c r="A62" s="8">
        <v>46160</v>
      </c>
      <c r="B62" s="10">
        <v>35</v>
      </c>
      <c r="C62" s="10">
        <v>2</v>
      </c>
      <c r="D62">
        <v>3</v>
      </c>
      <c r="E62">
        <v>0</v>
      </c>
      <c r="F62">
        <v>0</v>
      </c>
    </row>
    <row r="63" spans="1:6" x14ac:dyDescent="0.2">
      <c r="A63" s="8">
        <v>46160</v>
      </c>
      <c r="B63" s="10">
        <v>37</v>
      </c>
      <c r="C63" s="10">
        <v>1</v>
      </c>
      <c r="D63">
        <v>0</v>
      </c>
      <c r="E63">
        <v>0</v>
      </c>
      <c r="F63">
        <v>0</v>
      </c>
    </row>
    <row r="64" spans="1:6" x14ac:dyDescent="0.2">
      <c r="A64" s="8">
        <v>46160</v>
      </c>
      <c r="B64" s="10">
        <v>39</v>
      </c>
      <c r="C64" s="10">
        <v>2</v>
      </c>
      <c r="D64">
        <v>1</v>
      </c>
      <c r="E64">
        <v>0</v>
      </c>
      <c r="F64">
        <v>0</v>
      </c>
    </row>
    <row r="65" spans="1:6" x14ac:dyDescent="0.2">
      <c r="A65" s="8">
        <v>46160</v>
      </c>
      <c r="B65" s="10">
        <v>41</v>
      </c>
      <c r="C65" s="10">
        <v>1</v>
      </c>
      <c r="D65">
        <v>6</v>
      </c>
      <c r="E65">
        <v>0</v>
      </c>
      <c r="F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treatments</vt:lpstr>
      <vt:lpstr>env_parameters</vt:lpstr>
      <vt:lpstr>hobos</vt:lpstr>
      <vt:lpstr>clam_counts</vt:lpstr>
      <vt:lpstr>post_setup_disturbance_reef_dat</vt:lpstr>
      <vt:lpstr>summer2025_reef_data</vt:lpstr>
      <vt:lpstr>summer2025_invertebrate_data</vt:lpstr>
      <vt:lpstr>pit_data</vt:lpstr>
      <vt:lpstr>removal_pit_data</vt:lpstr>
      <vt:lpstr>procedural_control_data</vt:lpstr>
      <vt:lpstr>burial_data</vt:lpstr>
      <vt:lpstr>tile_data</vt:lpstr>
      <vt:lpstr>fall2025_reef_data</vt:lpstr>
      <vt:lpstr>fall2025_mussel_count</vt:lpstr>
      <vt:lpstr>spr26_field_reef_data</vt:lpstr>
      <vt:lpstr>spr26_field_oyster</vt:lpstr>
      <vt:lpstr>spr26_inverts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2015-06-05T18:17:20Z</dcterms:created>
  <dcterms:modified xsi:type="dcterms:W3CDTF">2026-06-05T18:28:31Z</dcterms:modified>
</cp:coreProperties>
</file>